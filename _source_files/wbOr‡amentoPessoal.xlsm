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15" codeName="{85106AD5-7665-2F1B-BB0A-E31DD656B090}"/>
  <workbookPr codeName="twb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xr:revisionPtr revIDLastSave="0" documentId="13_ncr:1_{86267BD9-7BDA-48CB-8EA5-C1DE1230B0F8}" xr6:coauthVersionLast="45" xr6:coauthVersionMax="45" xr10:uidLastSave="{00000000-0000-0000-0000-000000000000}"/>
  <bookViews>
    <workbookView xWindow="-120" yWindow="-120" windowWidth="20730" windowHeight="11310" tabRatio="763" firstSheet="1" activeTab="1" xr2:uid="{00000000-000D-0000-FFFF-FFFF00000000}"/>
  </bookViews>
  <sheets>
    <sheet name="Tabela_Cartões" sheetId="26" state="hidden" r:id="rId1"/>
    <sheet name="tbDespesas" sheetId="2" r:id="rId2"/>
    <sheet name="tbCartões" sheetId="36" r:id="rId3"/>
    <sheet name="tbReceitas" sheetId="25" r:id="rId4"/>
  </sheets>
  <functionGroups builtInGroupCount="19"/>
  <definedNames>
    <definedName name="_xlnm._FilterDatabase" localSheetId="0" hidden="1">Tabela_Cartões!$A$1:$E$59</definedName>
    <definedName name="_xlnm._FilterDatabase" localSheetId="1" hidden="1">#REF!</definedName>
    <definedName name="_xlcn.WorksheetConnection_wbOrçamentoPessoal.xlsmfDespesas1" hidden="1">fDespesas[]</definedName>
    <definedName name="_xlcn.WorksheetConnection_wbOrçamentoPessoal.xlsmTabela11" hidden="1">Tabela1[]</definedName>
    <definedName name="_xlcn.WorksheetConnection_wbOrçamentoPessoal.xlsmtbSalario1" hidden="1">tbSalario[]</definedName>
    <definedName name="Aluguéis">#REF!</definedName>
    <definedName name="Marcas">#REF!</definedName>
    <definedName name="nDESC">OFFSET(#REF!,1,0,COUNTA(#REF!)-1,1)</definedName>
    <definedName name="nDESC2">OFFSET(#REF!,1,0,COUNTA(#REF!)-2,1)</definedName>
    <definedName name="nLancs">OFFSET(#REF!,1,0,COUNTA(#REF!)-1,1)</definedName>
    <definedName name="nPGTO">OFFSET(#REF!,1,0,COUNTA(#REF!)-1,1)</definedName>
    <definedName name="rngData">#REF!</definedName>
    <definedName name="rngDia">#REF!</definedName>
    <definedName name="rngMes">#REF!</definedName>
    <definedName name="rngTXT">#REF!</definedName>
    <definedName name="txAno">#REF!</definedName>
    <definedName name="txMonth">#REF!</definedName>
  </definedNames>
  <calcPr calcId="191029"/>
  <pivotCaches>
    <pivotCache cacheId="34" r:id="rId5"/>
  </pivotCaches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alario" name="tbSalario" connection="WorksheetConnection_wbOrçamentoPessoal.xlsm!tbSalario"/>
          <x15:modelTable id="Tabela1" name="fCartoes" connection="WorksheetConnection_wbOrçamentoPessoal.xlsm!Tabela1"/>
          <x15:modelTable id="fDespesas" name="fDespesas" connection="WorksheetConnection_wbOrçamentoPessoal.xlsm!fDespesas"/>
          <x15:modelTable id="Calendar" name="Calendar" connection="Conexão"/>
        </x15:modelTables>
        <x15:modelRelationships>
          <x15:modelRelationship fromTable="fDespesas" fromColumn="Data" toTable="Calendar" toColumn="Date"/>
          <x15:modelRelationship fromTable="tbSalario" fromColumn="Data" toTable="Calendar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2" l="1"/>
  <c r="B167" i="36"/>
  <c r="C28" i="2" l="1" a="1"/>
  <c r="C28" i="2" s="1"/>
  <c r="D28" i="2" l="1" a="1"/>
  <c r="D2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C209062D-D748-4291-B1FF-AE536FED0B71}" keepAlive="1" name="Consulta - Feriados nacionais para o ano de 2019" description="Conexão com a consulta 'Feriados nacionais para o ano de 2019' na pasta de trabalho." type="5" refreshedVersion="6" background="1" saveData="1">
    <dbPr connection="Provider=Microsoft.Mashup.OleDb.1;Data Source=$Workbook$;Location=Feriados nacionais para o ano de 2019;Extended Properties=&quot;&quot;" command="SELECT * FROM [Feriados nacionais para o ano de 2019]"/>
  </connection>
  <connection id="3" xr16:uid="{00000000-0015-0000-FFFF-FFFF01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2000000}" name="WorksheetConnection_wbOrçamentoPessoal.xlsm!fDespesas" type="102" refreshedVersion="6" minRefreshableVersion="5">
    <extLst>
      <ext xmlns:x15="http://schemas.microsoft.com/office/spreadsheetml/2010/11/main" uri="{DE250136-89BD-433C-8126-D09CA5730AF9}">
        <x15:connection id="fDespesas">
          <x15:rangePr sourceName="_xlcn.WorksheetConnection_wbOrçamentoPessoal.xlsmfDespesas1"/>
        </x15:connection>
      </ext>
    </extLst>
  </connection>
  <connection id="5" xr16:uid="{00000000-0015-0000-FFFF-FFFF03000000}" name="WorksheetConnection_wbOrçamentoPessoal.xlsm!Tabela1" type="102" refreshedVersion="6" minRefreshableVersion="5">
    <extLst>
      <ext xmlns:x15="http://schemas.microsoft.com/office/spreadsheetml/2010/11/main" uri="{DE250136-89BD-433C-8126-D09CA5730AF9}">
        <x15:connection id="Tabela1">
          <x15:rangePr sourceName="_xlcn.WorksheetConnection_wbOrçamentoPessoal.xlsmTabela11"/>
        </x15:connection>
      </ext>
    </extLst>
  </connection>
  <connection id="6" xr16:uid="{00000000-0015-0000-FFFF-FFFF04000000}" name="WorksheetConnection_wbOrçamentoPessoal.xlsm!tbSalario" type="102" refreshedVersion="6" minRefreshableVersion="5">
    <extLst>
      <ext xmlns:x15="http://schemas.microsoft.com/office/spreadsheetml/2010/11/main" uri="{DE250136-89BD-433C-8126-D09CA5730AF9}">
        <x15:connection id="tbSalario">
          <x15:rangePr sourceName="_xlcn.WorksheetConnection_wbOrçamentoPessoal.xlsmtbSalario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<sst xmlns="http://schemas.openxmlformats.org/spreadsheetml/2006/main" count="1155" uniqueCount="104">
  <si>
    <t>DATA</t>
  </si>
  <si>
    <t>DESCRIÇÃO</t>
  </si>
  <si>
    <t>GRUPO</t>
  </si>
  <si>
    <t>VALOR</t>
  </si>
  <si>
    <t>VAL</t>
  </si>
  <si>
    <t>CASAS BAHIA</t>
  </si>
  <si>
    <t>CARTÕES DE CRÉDITO</t>
  </si>
  <si>
    <t>PAGO</t>
  </si>
  <si>
    <t>COLOMBO</t>
  </si>
  <si>
    <t>C&amp;A</t>
  </si>
  <si>
    <t>ÁVISTA</t>
  </si>
  <si>
    <t>CARTÃO LOPES</t>
  </si>
  <si>
    <t>NÃO PAGO</t>
  </si>
  <si>
    <t>PONTAL</t>
  </si>
  <si>
    <t>BESNI</t>
  </si>
  <si>
    <t>ALUGUEL</t>
  </si>
  <si>
    <t>ÁGUA</t>
  </si>
  <si>
    <t>LUZ</t>
  </si>
  <si>
    <t>NEXTEL</t>
  </si>
  <si>
    <t>Valor</t>
  </si>
  <si>
    <t>Fonte</t>
  </si>
  <si>
    <t>Data</t>
  </si>
  <si>
    <t>Receita Total</t>
  </si>
  <si>
    <t>SITUAÇÃO</t>
  </si>
  <si>
    <t>ACADEMIA</t>
  </si>
  <si>
    <t>ITAUCARD</t>
  </si>
  <si>
    <t>FRETADO</t>
  </si>
  <si>
    <t>PMTS</t>
  </si>
  <si>
    <t>SITEL DO BRASIL</t>
  </si>
  <si>
    <t>LOCAL</t>
  </si>
  <si>
    <t>SALÁRIO</t>
  </si>
  <si>
    <t>FABRILÍCIA</t>
  </si>
  <si>
    <t>PQ. VAZAME</t>
  </si>
  <si>
    <t>LUCRO LÍQUIDO</t>
  </si>
  <si>
    <t>PASEP</t>
  </si>
  <si>
    <t>MERCADO PAGO</t>
  </si>
  <si>
    <t>VENDA BENS</t>
  </si>
  <si>
    <t>1ª PARCELA 13º</t>
  </si>
  <si>
    <t>VENCIMENTOS RESCISÓRIOS</t>
  </si>
  <si>
    <t>VENDA DE BENS</t>
  </si>
  <si>
    <t>HKTI</t>
  </si>
  <si>
    <t>AJUDA DE CUSTO</t>
  </si>
  <si>
    <t>2ª PARCELA 13º</t>
  </si>
  <si>
    <t>13º PROPORCIONAL</t>
  </si>
  <si>
    <t>SALÁRIO PROPORCIONAL</t>
  </si>
  <si>
    <t>FONTE</t>
  </si>
  <si>
    <t>JUNIOR</t>
  </si>
  <si>
    <t>CRISTIANE</t>
  </si>
  <si>
    <t>CARGO/FUNÇÃO</t>
  </si>
  <si>
    <t>ASS. ADMINISTRATIVO</t>
  </si>
  <si>
    <t>ANALISTA ADMINISTRATIVO</t>
  </si>
  <si>
    <t>AUTÔNOMO</t>
  </si>
  <si>
    <t>ANALISTA DE SUPORTE JR.</t>
  </si>
  <si>
    <t>GERENTE OPERACIONAL</t>
  </si>
  <si>
    <t>VENDEDOR</t>
  </si>
  <si>
    <t>ANALISTA DE SISTEMAS</t>
  </si>
  <si>
    <t>ÁREA ATUAÇÃO</t>
  </si>
  <si>
    <t>ADMINISTRATIVO</t>
  </si>
  <si>
    <t>TECNOLOGIA</t>
  </si>
  <si>
    <t>VENDAS</t>
  </si>
  <si>
    <t>GERENCIAL VENDAS</t>
  </si>
  <si>
    <t>VENDAS INDIRETAS</t>
  </si>
  <si>
    <t>PQ. TEREZA</t>
  </si>
  <si>
    <t>EMBRACON</t>
  </si>
  <si>
    <t>ANALISTA ADMINISTRATIVO DE VENDAS</t>
  </si>
  <si>
    <t>ADIANT. QUINZENAL</t>
  </si>
  <si>
    <t>BRADESCARD</t>
  </si>
  <si>
    <t>FACULDADE</t>
  </si>
  <si>
    <t>INTERNET</t>
  </si>
  <si>
    <t>Vencimento</t>
  </si>
  <si>
    <t>CARTÃO BCO INTER</t>
  </si>
  <si>
    <t>NUBANK</t>
  </si>
  <si>
    <t>CARTÃO LUIZA</t>
  </si>
  <si>
    <t>Categoria</t>
  </si>
  <si>
    <t>CARTÃO DE CRÉD.</t>
  </si>
  <si>
    <t>CONTAS DE CONSUMO</t>
  </si>
  <si>
    <t>EDUCAÇÃO</t>
  </si>
  <si>
    <t>TRANSPORTE</t>
  </si>
  <si>
    <t>Rótulos de Linha</t>
  </si>
  <si>
    <t>Total Geral</t>
  </si>
  <si>
    <t>Vlr_Parcela</t>
  </si>
  <si>
    <t>Cartão</t>
  </si>
  <si>
    <t>Descrição Compra</t>
  </si>
  <si>
    <t>Nubank</t>
  </si>
  <si>
    <t>Repetidor Wifi</t>
  </si>
  <si>
    <t>Fonte Notebook</t>
  </si>
  <si>
    <t>Roupas TNG</t>
  </si>
  <si>
    <t>Cortinas</t>
  </si>
  <si>
    <t>Situação</t>
  </si>
  <si>
    <t>Inter</t>
  </si>
  <si>
    <t>Escritório</t>
  </si>
  <si>
    <t>Itaú</t>
  </si>
  <si>
    <t>-</t>
  </si>
  <si>
    <t>Parcela_Num</t>
  </si>
  <si>
    <t>Bradesco</t>
  </si>
  <si>
    <t>MAGAZINE LUIZA</t>
  </si>
  <si>
    <t>FOTOTICA</t>
  </si>
  <si>
    <t>EQUIPAMENTO SKY</t>
  </si>
  <si>
    <t>CS SP TABOAO</t>
  </si>
  <si>
    <t>ANUIDADE</t>
  </si>
  <si>
    <t>Luiza</t>
  </si>
  <si>
    <t>TV</t>
  </si>
  <si>
    <t>Soma de Vlr_Parcela</t>
  </si>
  <si>
    <t>SoundBar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</si>
</sst>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Trebuchet MS"/>
      <family val="2"/>
    </font>
    <font>
      <sz val="10"/>
      <color theme="1"/>
      <name val="Trebuchet MS"/>
      <family val="2"/>
    </font>
    <font>
      <sz val="10"/>
      <color indexed="8"/>
      <name val="Trebuchet MS"/>
    </font>
    <font>
      <b/>
      <sz val="12"/>
      <color indexed="8"/>
      <name val="Segoe UI 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14" fontId="3" fillId="0" borderId="0" xfId="0" applyNumberFormat="1" applyFont="1"/>
    <xf numFmtId="14" fontId="2" fillId="3" borderId="1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44" fontId="0" fillId="0" borderId="0" xfId="0" applyNumberFormat="1"/>
    <xf numFmtId="14" fontId="2" fillId="3" borderId="6" xfId="0" applyNumberFormat="1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0" fontId="4" fillId="2" borderId="5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4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0" xfId="0" applyNumberFormat="1" applyFont="1" applyFill="1" applyAlignment="1" applyProtection="1">
      <alignment horizontal="center"/>
    </xf>
    <xf numFmtId="164" fontId="6" fillId="0" borderId="0" xfId="0" applyNumberFormat="1" applyFont="1" applyFill="1" applyAlignment="1" applyProtection="1">
      <alignment horizontal="center"/>
    </xf>
    <xf numFmtId="4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horizontal="center"/>
    </xf>
    <xf numFmtId="14" fontId="6" fillId="0" borderId="0" xfId="0" applyNumberFormat="1" applyFont="1" applyFill="1" applyAlignment="1" applyProtection="1">
      <alignment horizontal="center"/>
    </xf>
    <xf numFmtId="44" fontId="3" fillId="0" borderId="0" xfId="0" applyNumberFormat="1" applyFont="1"/>
    <xf numFmtId="164" fontId="3" fillId="0" borderId="0" xfId="0" applyNumberFormat="1" applyFont="1"/>
    <xf numFmtId="164" fontId="8" fillId="0" borderId="0" xfId="0" applyNumberFormat="1" applyFont="1" applyFill="1" applyAlignment="1" applyProtection="1">
      <alignment horizontal="center"/>
    </xf>
    <xf numFmtId="0" fontId="3" fillId="0" borderId="0" xfId="0" applyFont="1" applyBorder="1"/>
    <xf numFmtId="164" fontId="3" fillId="0" borderId="0" xfId="0" applyNumberFormat="1" applyFont="1" applyBorder="1"/>
    <xf numFmtId="44" fontId="3" fillId="0" borderId="0" xfId="0" applyNumberFormat="1" applyFont="1" applyBorder="1"/>
    <xf numFmtId="164" fontId="9" fillId="0" borderId="0" xfId="0" applyNumberFormat="1" applyFont="1" applyFill="1" applyAlignment="1" applyProtection="1">
      <alignment horizontal="center"/>
    </xf>
    <xf numFmtId="0" fontId="9" fillId="0" borderId="0" xfId="0" applyFont="1" applyFill="1" applyAlignment="1" applyProtection="1">
      <alignment horizontal="center"/>
    </xf>
    <xf numFmtId="0" fontId="10" fillId="2" borderId="5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</cellXfs>
  <cellStyles count="2">
    <cellStyle name="Moeda 2" xfId="1" xr:uid="{00000000-0005-0000-0000-000000000000}"/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Segoe UI 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Segoe UI "/>
        <scheme val="none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Segoe UI "/>
        <scheme val="none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rebuchet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rebuchet MS"/>
        <family val="2"/>
        <scheme val="none"/>
      </font>
      <numFmt numFmtId="164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Trebuchet MS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border outline="0">
        <bottom style="medium">
          <color theme="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rebuchet M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_(&quot;R$&quot;* #,##0.00_);_(&quot;R$&quot;* \(#,##0.00\);_(&quot;R$&quot;* &quot;-&quot;??_);_(@_)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protection locked="0" hidden="0"/>
    </dxf>
    <dxf>
      <numFmt numFmtId="166" formatCode="m/d/yyyy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64" formatCode="_(&quot;R$&quot;* #,##0.00_);_(&quot;R$&quot;* \(#,##0.00\);_(&quot;R$&quot;* &quot;-&quot;??_);_(@_)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medium">
          <color theme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0C0C"/>
      <color rgb="FF2A34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21" Type="http://schemas.openxmlformats.org/officeDocument/2006/relationships/customXml" Target="../customXml/item9.xml"/><Relationship Id="rId34" Type="http://schemas.openxmlformats.org/officeDocument/2006/relationships/customXml" Target="../customXml/item22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37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36" Type="http://schemas.openxmlformats.org/officeDocument/2006/relationships/customXml" Target="../customXml/item24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openxmlformats.org/officeDocument/2006/relationships/customXml" Target="../customXml/item23.xml"/><Relationship Id="rId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ildo Junior" refreshedDate="43767.949455324073" createdVersion="6" refreshedVersion="6" minRefreshableVersion="3" recordCount="165" xr:uid="{17D48982-F345-4EEB-9CFB-DE65A976B8B3}">
  <cacheSource type="worksheet">
    <worksheetSource name="Tabela5"/>
  </cacheSource>
  <cacheFields count="6">
    <cacheField name="Vencimento" numFmtId="14">
      <sharedItems containsSemiMixedTypes="0" containsNonDate="0" containsDate="1" containsString="0" minDate="2019-09-20T00:00:00" maxDate="2021-04-21T00:00:00"/>
    </cacheField>
    <cacheField name="Vlr_Parcela" numFmtId="44">
      <sharedItems containsSemiMixedTypes="0" containsString="0" containsNumber="1" minValue="9.99" maxValue="140.46"/>
    </cacheField>
    <cacheField name="Cartão" numFmtId="0">
      <sharedItems count="5">
        <s v="Nubank"/>
        <s v="Inter"/>
        <s v="Bradesco"/>
        <s v="Itaú"/>
        <s v="Luiza"/>
      </sharedItems>
    </cacheField>
    <cacheField name="Descrição Compra" numFmtId="0">
      <sharedItems/>
    </cacheField>
    <cacheField name="Situação" numFmtId="0">
      <sharedItems count="2">
        <s v="PAGO"/>
        <s v="NÃO PAGO"/>
      </sharedItems>
    </cacheField>
    <cacheField name="Parcela_Num" numFmtId="0">
      <sharedItems containsSemiMixedTypes="0" containsString="0" containsNumber="1" containsInteger="1" minValue="1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">
  <r>
    <d v="2019-09-20T00:00:00"/>
    <n v="34.979999999999997"/>
    <x v="0"/>
    <s v="Repetidor Wifi"/>
    <x v="0"/>
    <n v="1"/>
  </r>
  <r>
    <d v="2019-09-20T00:00:00"/>
    <n v="14.9"/>
    <x v="0"/>
    <s v="Fonte Notebook"/>
    <x v="0"/>
    <n v="1"/>
  </r>
  <r>
    <d v="2019-09-20T00:00:00"/>
    <n v="58.2"/>
    <x v="0"/>
    <s v="Roupas TNG"/>
    <x v="0"/>
    <n v="1"/>
  </r>
  <r>
    <d v="2019-09-25T00:00:00"/>
    <n v="115.55"/>
    <x v="1"/>
    <s v="Escritório"/>
    <x v="0"/>
    <n v="1"/>
  </r>
  <r>
    <d v="2019-10-10T00:00:00"/>
    <n v="67.790000000000006"/>
    <x v="2"/>
    <s v="MAGAZINE LUIZA"/>
    <x v="0"/>
    <n v="1"/>
  </r>
  <r>
    <d v="2019-10-10T00:00:00"/>
    <n v="140.46"/>
    <x v="2"/>
    <s v="MAGAZINE LUIZA"/>
    <x v="0"/>
    <n v="6"/>
  </r>
  <r>
    <d v="2019-10-10T00:00:00"/>
    <n v="95.55"/>
    <x v="2"/>
    <s v="FOTOTICA"/>
    <x v="0"/>
    <n v="6"/>
  </r>
  <r>
    <d v="2019-10-10T00:00:00"/>
    <n v="17.18"/>
    <x v="2"/>
    <s v="CASAS BAHIA"/>
    <x v="0"/>
    <n v="6"/>
  </r>
  <r>
    <d v="2019-10-10T00:00:00"/>
    <n v="11.47"/>
    <x v="2"/>
    <s v="EQUIPAMENTO SKY"/>
    <x v="0"/>
    <n v="2"/>
  </r>
  <r>
    <d v="2019-10-10T00:00:00"/>
    <n v="113.25"/>
    <x v="2"/>
    <s v="CS SP TABOAO"/>
    <x v="0"/>
    <n v="5"/>
  </r>
  <r>
    <d v="2019-10-10T00:00:00"/>
    <n v="27.08"/>
    <x v="2"/>
    <s v="ANUIDADE"/>
    <x v="0"/>
    <n v="6"/>
  </r>
  <r>
    <d v="2019-10-20T00:00:00"/>
    <n v="34.979999999999997"/>
    <x v="0"/>
    <s v="Repetidor Wifi"/>
    <x v="0"/>
    <n v="2"/>
  </r>
  <r>
    <d v="2019-10-20T00:00:00"/>
    <n v="43.85"/>
    <x v="0"/>
    <s v="Cortinas"/>
    <x v="0"/>
    <n v="1"/>
  </r>
  <r>
    <d v="2019-10-20T00:00:00"/>
    <n v="14.9"/>
    <x v="0"/>
    <s v="Fonte Notebook"/>
    <x v="0"/>
    <n v="2"/>
  </r>
  <r>
    <d v="2019-10-20T00:00:00"/>
    <n v="58.2"/>
    <x v="0"/>
    <s v="Roupas TNG"/>
    <x v="0"/>
    <n v="2"/>
  </r>
  <r>
    <d v="2019-10-25T00:00:00"/>
    <n v="115.55"/>
    <x v="1"/>
    <s v="Escritório"/>
    <x v="0"/>
    <n v="2"/>
  </r>
  <r>
    <d v="2019-10-25T00:00:00"/>
    <n v="69.489999999999995"/>
    <x v="1"/>
    <s v="Roupas TNG"/>
    <x v="0"/>
    <n v="1"/>
  </r>
  <r>
    <d v="2019-10-25T00:00:00"/>
    <n v="69.489999999999995"/>
    <x v="1"/>
    <s v="Roupas TNG"/>
    <x v="0"/>
    <n v="2"/>
  </r>
  <r>
    <d v="2019-10-25T00:00:00"/>
    <n v="117.2"/>
    <x v="3"/>
    <s v="-"/>
    <x v="0"/>
    <n v="5"/>
  </r>
  <r>
    <d v="2019-10-25T00:00:00"/>
    <n v="14.12"/>
    <x v="3"/>
    <s v="Escritório"/>
    <x v="0"/>
    <n v="1"/>
  </r>
  <r>
    <d v="2019-11-10T00:00:00"/>
    <n v="67.790000000000006"/>
    <x v="2"/>
    <s v="MAGAZINE LUIZA"/>
    <x v="1"/>
    <n v="2"/>
  </r>
  <r>
    <d v="2019-11-10T00:00:00"/>
    <n v="140.46"/>
    <x v="2"/>
    <s v="MAGAZINE LUIZA"/>
    <x v="1"/>
    <n v="7"/>
  </r>
  <r>
    <d v="2019-11-10T00:00:00"/>
    <n v="95.55"/>
    <x v="2"/>
    <s v="FOTOTICA"/>
    <x v="1"/>
    <n v="7"/>
  </r>
  <r>
    <d v="2019-11-10T00:00:00"/>
    <n v="17.18"/>
    <x v="2"/>
    <s v="CASAS BAHIA"/>
    <x v="1"/>
    <n v="7"/>
  </r>
  <r>
    <d v="2019-11-10T00:00:00"/>
    <n v="11.47"/>
    <x v="2"/>
    <s v="EQUIPAMENTO SKY"/>
    <x v="1"/>
    <n v="3"/>
  </r>
  <r>
    <d v="2019-11-10T00:00:00"/>
    <n v="113.25"/>
    <x v="2"/>
    <s v="CS SP TABOAO"/>
    <x v="1"/>
    <n v="6"/>
  </r>
  <r>
    <d v="2019-11-10T00:00:00"/>
    <n v="27.08"/>
    <x v="2"/>
    <s v="ANUIDADE"/>
    <x v="1"/>
    <n v="7"/>
  </r>
  <r>
    <d v="2019-11-20T00:00:00"/>
    <n v="34.979999999999997"/>
    <x v="0"/>
    <s v="Repetidor Wifi"/>
    <x v="1"/>
    <n v="3"/>
  </r>
  <r>
    <d v="2019-11-20T00:00:00"/>
    <n v="43.85"/>
    <x v="0"/>
    <s v="Cortinas"/>
    <x v="1"/>
    <n v="2"/>
  </r>
  <r>
    <d v="2019-11-20T00:00:00"/>
    <n v="14.9"/>
    <x v="0"/>
    <s v="Fonte Notebook"/>
    <x v="1"/>
    <n v="3"/>
  </r>
  <r>
    <d v="2019-11-20T00:00:00"/>
    <n v="58.2"/>
    <x v="0"/>
    <s v="Roupas TNG"/>
    <x v="1"/>
    <n v="3"/>
  </r>
  <r>
    <d v="2019-11-20T00:00:00"/>
    <n v="116.67"/>
    <x v="4"/>
    <s v="TV"/>
    <x v="1"/>
    <n v="1"/>
  </r>
  <r>
    <d v="2019-11-20T00:00:00"/>
    <n v="9.99"/>
    <x v="4"/>
    <s v="ANUIDADE"/>
    <x v="1"/>
    <n v="1"/>
  </r>
  <r>
    <d v="2019-11-25T00:00:00"/>
    <n v="115.55"/>
    <x v="1"/>
    <s v="Escritório"/>
    <x v="1"/>
    <n v="3"/>
  </r>
  <r>
    <d v="2019-11-25T00:00:00"/>
    <n v="39.5"/>
    <x v="1"/>
    <s v="Cortinas"/>
    <x v="1"/>
    <n v="1"/>
  </r>
  <r>
    <d v="2019-11-25T00:00:00"/>
    <n v="117.2"/>
    <x v="3"/>
    <s v="-"/>
    <x v="1"/>
    <n v="6"/>
  </r>
  <r>
    <d v="2019-11-25T00:00:00"/>
    <n v="14.12"/>
    <x v="3"/>
    <s v="Escritório"/>
    <x v="1"/>
    <n v="2"/>
  </r>
  <r>
    <d v="2019-11-25T00:00:00"/>
    <n v="54.81"/>
    <x v="3"/>
    <s v="Escritório"/>
    <x v="1"/>
    <n v="2"/>
  </r>
  <r>
    <d v="2019-11-25T00:00:00"/>
    <n v="56.2"/>
    <x v="3"/>
    <s v="Cortinas"/>
    <x v="1"/>
    <n v="1"/>
  </r>
  <r>
    <d v="2019-12-10T00:00:00"/>
    <n v="67.790000000000006"/>
    <x v="2"/>
    <s v="MAGAZINE LUIZA"/>
    <x v="1"/>
    <n v="3"/>
  </r>
  <r>
    <d v="2019-12-10T00:00:00"/>
    <n v="140.46"/>
    <x v="2"/>
    <s v="MAGAZINE LUIZA"/>
    <x v="1"/>
    <n v="8"/>
  </r>
  <r>
    <d v="2019-12-10T00:00:00"/>
    <n v="95.55"/>
    <x v="2"/>
    <s v="FOTOTICA"/>
    <x v="1"/>
    <n v="8"/>
  </r>
  <r>
    <d v="2019-12-10T00:00:00"/>
    <n v="17.18"/>
    <x v="2"/>
    <s v="CASAS BAHIA"/>
    <x v="1"/>
    <n v="8"/>
  </r>
  <r>
    <d v="2019-12-10T00:00:00"/>
    <n v="11.47"/>
    <x v="2"/>
    <s v="EQUIPAMENTO SKY"/>
    <x v="1"/>
    <n v="4"/>
  </r>
  <r>
    <d v="2019-12-10T00:00:00"/>
    <n v="113.25"/>
    <x v="2"/>
    <s v="CS SP TABOAO"/>
    <x v="1"/>
    <n v="7"/>
  </r>
  <r>
    <d v="2019-12-10T00:00:00"/>
    <n v="27.08"/>
    <x v="2"/>
    <s v="ANUIDADE"/>
    <x v="1"/>
    <n v="8"/>
  </r>
  <r>
    <d v="2019-12-20T00:00:00"/>
    <n v="43.85"/>
    <x v="0"/>
    <s v="Cortinas"/>
    <x v="1"/>
    <n v="3"/>
  </r>
  <r>
    <d v="2019-12-20T00:00:00"/>
    <n v="14.9"/>
    <x v="0"/>
    <s v="Fonte Notebook"/>
    <x v="1"/>
    <n v="4"/>
  </r>
  <r>
    <d v="2019-12-20T00:00:00"/>
    <n v="58.2"/>
    <x v="0"/>
    <s v="Roupas TNG"/>
    <x v="1"/>
    <n v="4"/>
  </r>
  <r>
    <d v="2019-12-20T00:00:00"/>
    <n v="116.67"/>
    <x v="4"/>
    <s v="TV"/>
    <x v="1"/>
    <n v="2"/>
  </r>
  <r>
    <d v="2019-12-20T00:00:00"/>
    <n v="9.99"/>
    <x v="4"/>
    <s v="ANUIDADE"/>
    <x v="1"/>
    <n v="2"/>
  </r>
  <r>
    <d v="2019-12-25T00:00:00"/>
    <n v="115.55"/>
    <x v="1"/>
    <s v="Escritório"/>
    <x v="1"/>
    <n v="4"/>
  </r>
  <r>
    <d v="2019-12-25T00:00:00"/>
    <n v="39.5"/>
    <x v="1"/>
    <s v="Cortinas"/>
    <x v="1"/>
    <n v="2"/>
  </r>
  <r>
    <d v="2019-12-25T00:00:00"/>
    <n v="117.2"/>
    <x v="3"/>
    <s v="-"/>
    <x v="1"/>
    <n v="7"/>
  </r>
  <r>
    <d v="2019-12-25T00:00:00"/>
    <n v="14.12"/>
    <x v="3"/>
    <s v="Escritório"/>
    <x v="1"/>
    <n v="3"/>
  </r>
  <r>
    <d v="2019-12-25T00:00:00"/>
    <n v="54.81"/>
    <x v="3"/>
    <s v="Escritório"/>
    <x v="1"/>
    <n v="3"/>
  </r>
  <r>
    <d v="2019-12-25T00:00:00"/>
    <n v="56.2"/>
    <x v="3"/>
    <s v="Cortinas"/>
    <x v="1"/>
    <n v="2"/>
  </r>
  <r>
    <d v="2020-01-10T00:00:00"/>
    <n v="67.790000000000006"/>
    <x v="2"/>
    <s v="MAGAZINE LUIZA"/>
    <x v="1"/>
    <n v="4"/>
  </r>
  <r>
    <d v="2020-01-10T00:00:00"/>
    <n v="140.46"/>
    <x v="2"/>
    <s v="MAGAZINE LUIZA"/>
    <x v="1"/>
    <n v="9"/>
  </r>
  <r>
    <d v="2020-01-10T00:00:00"/>
    <n v="95.55"/>
    <x v="2"/>
    <s v="FOTOTICA"/>
    <x v="1"/>
    <n v="9"/>
  </r>
  <r>
    <d v="2020-01-10T00:00:00"/>
    <n v="17.18"/>
    <x v="2"/>
    <s v="CASAS BAHIA"/>
    <x v="1"/>
    <n v="9"/>
  </r>
  <r>
    <d v="2020-01-10T00:00:00"/>
    <n v="11.47"/>
    <x v="2"/>
    <s v="EQUIPAMENTO SKY"/>
    <x v="1"/>
    <n v="5"/>
  </r>
  <r>
    <d v="2020-01-10T00:00:00"/>
    <n v="113.25"/>
    <x v="2"/>
    <s v="CS SP TABOAO"/>
    <x v="1"/>
    <n v="8"/>
  </r>
  <r>
    <d v="2020-01-10T00:00:00"/>
    <n v="27.08"/>
    <x v="2"/>
    <s v="ANUIDADE"/>
    <x v="1"/>
    <n v="9"/>
  </r>
  <r>
    <d v="2020-01-20T00:00:00"/>
    <n v="43.85"/>
    <x v="0"/>
    <s v="Cortinas"/>
    <x v="1"/>
    <n v="4"/>
  </r>
  <r>
    <d v="2020-01-20T00:00:00"/>
    <n v="14.9"/>
    <x v="0"/>
    <s v="Fonte Notebook"/>
    <x v="1"/>
    <n v="5"/>
  </r>
  <r>
    <d v="2020-01-20T00:00:00"/>
    <n v="58.2"/>
    <x v="0"/>
    <s v="Roupas TNG"/>
    <x v="1"/>
    <n v="5"/>
  </r>
  <r>
    <d v="2020-01-20T00:00:00"/>
    <n v="116.67"/>
    <x v="4"/>
    <s v="TV"/>
    <x v="1"/>
    <n v="3"/>
  </r>
  <r>
    <d v="2020-01-20T00:00:00"/>
    <n v="9.99"/>
    <x v="4"/>
    <s v="ANUIDADE"/>
    <x v="1"/>
    <n v="3"/>
  </r>
  <r>
    <d v="2020-01-25T00:00:00"/>
    <n v="115.55"/>
    <x v="1"/>
    <s v="Escritório"/>
    <x v="1"/>
    <n v="5"/>
  </r>
  <r>
    <d v="2020-01-25T00:00:00"/>
    <n v="39.5"/>
    <x v="1"/>
    <s v="Cortinas"/>
    <x v="1"/>
    <n v="3"/>
  </r>
  <r>
    <d v="2020-01-25T00:00:00"/>
    <n v="117.2"/>
    <x v="3"/>
    <s v="-"/>
    <x v="1"/>
    <n v="8"/>
  </r>
  <r>
    <d v="2020-01-25T00:00:00"/>
    <n v="14.12"/>
    <x v="3"/>
    <s v="Escritório"/>
    <x v="1"/>
    <n v="4"/>
  </r>
  <r>
    <d v="2020-01-25T00:00:00"/>
    <n v="54.81"/>
    <x v="3"/>
    <s v="Escritório"/>
    <x v="1"/>
    <n v="4"/>
  </r>
  <r>
    <d v="2020-01-25T00:00:00"/>
    <n v="56.2"/>
    <x v="3"/>
    <s v="Cortinas"/>
    <x v="1"/>
    <n v="3"/>
  </r>
  <r>
    <d v="2020-02-10T00:00:00"/>
    <n v="67.790000000000006"/>
    <x v="2"/>
    <s v="MAGAZINE LUIZA"/>
    <x v="1"/>
    <n v="5"/>
  </r>
  <r>
    <d v="2020-02-10T00:00:00"/>
    <n v="140.46"/>
    <x v="2"/>
    <s v="MAGAZINE LUIZA"/>
    <x v="1"/>
    <n v="10"/>
  </r>
  <r>
    <d v="2020-02-10T00:00:00"/>
    <n v="95.55"/>
    <x v="2"/>
    <s v="FOTOTICA"/>
    <x v="1"/>
    <n v="10"/>
  </r>
  <r>
    <d v="2020-02-10T00:00:00"/>
    <n v="17.18"/>
    <x v="2"/>
    <s v="CASAS BAHIA"/>
    <x v="1"/>
    <n v="10"/>
  </r>
  <r>
    <d v="2020-02-10T00:00:00"/>
    <n v="11.47"/>
    <x v="2"/>
    <s v="EQUIPAMENTO SKY"/>
    <x v="1"/>
    <n v="6"/>
  </r>
  <r>
    <d v="2020-02-10T00:00:00"/>
    <n v="27.08"/>
    <x v="2"/>
    <s v="ANUIDADE"/>
    <x v="1"/>
    <n v="10"/>
  </r>
  <r>
    <d v="2020-02-20T00:00:00"/>
    <n v="43.85"/>
    <x v="0"/>
    <s v="Cortinas"/>
    <x v="1"/>
    <n v="5"/>
  </r>
  <r>
    <d v="2020-02-20T00:00:00"/>
    <n v="14.9"/>
    <x v="0"/>
    <s v="Fonte Notebook"/>
    <x v="1"/>
    <n v="6"/>
  </r>
  <r>
    <d v="2020-02-20T00:00:00"/>
    <n v="58.2"/>
    <x v="0"/>
    <s v="Roupas TNG"/>
    <x v="1"/>
    <n v="6"/>
  </r>
  <r>
    <d v="2020-02-20T00:00:00"/>
    <n v="116.67"/>
    <x v="4"/>
    <s v="TV"/>
    <x v="1"/>
    <n v="4"/>
  </r>
  <r>
    <d v="2020-02-20T00:00:00"/>
    <n v="9.99"/>
    <x v="4"/>
    <s v="ANUIDADE"/>
    <x v="1"/>
    <n v="4"/>
  </r>
  <r>
    <d v="2020-02-25T00:00:00"/>
    <n v="115.55"/>
    <x v="1"/>
    <s v="Escritório"/>
    <x v="1"/>
    <n v="6"/>
  </r>
  <r>
    <d v="2020-02-25T00:00:00"/>
    <n v="39.5"/>
    <x v="1"/>
    <s v="Cortinas"/>
    <x v="1"/>
    <n v="4"/>
  </r>
  <r>
    <d v="2020-02-25T00:00:00"/>
    <n v="14.12"/>
    <x v="3"/>
    <s v="Escritório"/>
    <x v="1"/>
    <n v="5"/>
  </r>
  <r>
    <d v="2020-02-25T00:00:00"/>
    <n v="54.81"/>
    <x v="3"/>
    <s v="Escritório"/>
    <x v="1"/>
    <n v="5"/>
  </r>
  <r>
    <d v="2020-02-25T00:00:00"/>
    <n v="56.2"/>
    <x v="3"/>
    <s v="Cortinas"/>
    <x v="1"/>
    <n v="4"/>
  </r>
  <r>
    <d v="2020-03-10T00:00:00"/>
    <n v="67.790000000000006"/>
    <x v="2"/>
    <s v="MAGAZINE LUIZA"/>
    <x v="1"/>
    <n v="6"/>
  </r>
  <r>
    <d v="2020-03-10T00:00:00"/>
    <n v="140.46"/>
    <x v="2"/>
    <s v="MAGAZINE LUIZA"/>
    <x v="1"/>
    <n v="11"/>
  </r>
  <r>
    <d v="2020-03-10T00:00:00"/>
    <n v="17.18"/>
    <x v="2"/>
    <s v="CASAS BAHIA"/>
    <x v="1"/>
    <n v="11"/>
  </r>
  <r>
    <d v="2020-03-10T00:00:00"/>
    <n v="11.47"/>
    <x v="2"/>
    <s v="EQUIPAMENTO SKY"/>
    <x v="1"/>
    <n v="7"/>
  </r>
  <r>
    <d v="2020-03-10T00:00:00"/>
    <n v="27.08"/>
    <x v="2"/>
    <s v="ANUIDADE"/>
    <x v="1"/>
    <n v="11"/>
  </r>
  <r>
    <d v="2020-03-20T00:00:00"/>
    <n v="43.85"/>
    <x v="0"/>
    <s v="Cortinas"/>
    <x v="1"/>
    <n v="6"/>
  </r>
  <r>
    <d v="2020-03-20T00:00:00"/>
    <n v="14.9"/>
    <x v="0"/>
    <s v="Fonte Notebook"/>
    <x v="1"/>
    <n v="7"/>
  </r>
  <r>
    <d v="2020-03-20T00:00:00"/>
    <n v="116.67"/>
    <x v="4"/>
    <s v="TV"/>
    <x v="1"/>
    <n v="5"/>
  </r>
  <r>
    <d v="2020-03-20T00:00:00"/>
    <n v="9.99"/>
    <x v="4"/>
    <s v="ANUIDADE"/>
    <x v="1"/>
    <n v="5"/>
  </r>
  <r>
    <d v="2020-03-25T00:00:00"/>
    <n v="115.55"/>
    <x v="1"/>
    <s v="Escritório"/>
    <x v="1"/>
    <n v="7"/>
  </r>
  <r>
    <d v="2020-03-25T00:00:00"/>
    <n v="39.5"/>
    <x v="1"/>
    <s v="Cortinas"/>
    <x v="1"/>
    <n v="5"/>
  </r>
  <r>
    <d v="2020-03-25T00:00:00"/>
    <n v="14.12"/>
    <x v="3"/>
    <s v="Escritório"/>
    <x v="1"/>
    <n v="6"/>
  </r>
  <r>
    <d v="2020-03-25T00:00:00"/>
    <n v="54.81"/>
    <x v="3"/>
    <s v="Escritório"/>
    <x v="1"/>
    <n v="6"/>
  </r>
  <r>
    <d v="2020-03-25T00:00:00"/>
    <n v="56.2"/>
    <x v="3"/>
    <s v="Cortinas"/>
    <x v="1"/>
    <n v="5"/>
  </r>
  <r>
    <d v="2020-04-10T00:00:00"/>
    <n v="67.790000000000006"/>
    <x v="2"/>
    <s v="MAGAZINE LUIZA"/>
    <x v="1"/>
    <n v="7"/>
  </r>
  <r>
    <d v="2020-04-10T00:00:00"/>
    <n v="140.46"/>
    <x v="2"/>
    <s v="MAGAZINE LUIZA"/>
    <x v="1"/>
    <n v="12"/>
  </r>
  <r>
    <d v="2020-04-10T00:00:00"/>
    <n v="17.18"/>
    <x v="2"/>
    <s v="CASAS BAHIA"/>
    <x v="1"/>
    <n v="12"/>
  </r>
  <r>
    <d v="2020-04-10T00:00:00"/>
    <n v="11.47"/>
    <x v="2"/>
    <s v="EQUIPAMENTO SKY"/>
    <x v="1"/>
    <n v="8"/>
  </r>
  <r>
    <d v="2020-04-10T00:00:00"/>
    <n v="27.08"/>
    <x v="2"/>
    <s v="ANUIDADE"/>
    <x v="1"/>
    <n v="12"/>
  </r>
  <r>
    <d v="2020-04-20T00:00:00"/>
    <n v="14.9"/>
    <x v="0"/>
    <s v="Fonte Notebook"/>
    <x v="1"/>
    <n v="8"/>
  </r>
  <r>
    <d v="2020-04-20T00:00:00"/>
    <n v="116.67"/>
    <x v="4"/>
    <s v="TV"/>
    <x v="1"/>
    <n v="6"/>
  </r>
  <r>
    <d v="2020-04-20T00:00:00"/>
    <n v="9.99"/>
    <x v="4"/>
    <s v="ANUIDADE"/>
    <x v="1"/>
    <n v="6"/>
  </r>
  <r>
    <d v="2020-04-25T00:00:00"/>
    <n v="115.55"/>
    <x v="1"/>
    <s v="Escritório"/>
    <x v="1"/>
    <n v="8"/>
  </r>
  <r>
    <d v="2020-04-25T00:00:00"/>
    <n v="39.5"/>
    <x v="1"/>
    <s v="Cortinas"/>
    <x v="1"/>
    <n v="6"/>
  </r>
  <r>
    <d v="2020-04-25T00:00:00"/>
    <n v="14.12"/>
    <x v="3"/>
    <s v="Escritório"/>
    <x v="1"/>
    <n v="7"/>
  </r>
  <r>
    <d v="2020-04-25T00:00:00"/>
    <n v="54.81"/>
    <x v="3"/>
    <s v="Escritório"/>
    <x v="1"/>
    <n v="7"/>
  </r>
  <r>
    <d v="2020-04-25T00:00:00"/>
    <n v="56.2"/>
    <x v="3"/>
    <s v="Cortinas"/>
    <x v="1"/>
    <n v="6"/>
  </r>
  <r>
    <d v="2020-05-10T00:00:00"/>
    <n v="67.790000000000006"/>
    <x v="2"/>
    <s v="MAGAZINE LUIZA"/>
    <x v="1"/>
    <n v="8"/>
  </r>
  <r>
    <d v="2020-05-10T00:00:00"/>
    <n v="11.47"/>
    <x v="2"/>
    <s v="EQUIPAMENTO SKY"/>
    <x v="1"/>
    <n v="9"/>
  </r>
  <r>
    <d v="2020-05-20T00:00:00"/>
    <n v="14.9"/>
    <x v="0"/>
    <s v="Fonte Notebook"/>
    <x v="1"/>
    <n v="9"/>
  </r>
  <r>
    <d v="2020-05-20T00:00:00"/>
    <n v="116.67"/>
    <x v="4"/>
    <s v="TV"/>
    <x v="1"/>
    <n v="7"/>
  </r>
  <r>
    <d v="2020-05-20T00:00:00"/>
    <n v="9.99"/>
    <x v="4"/>
    <s v="ANUIDADE"/>
    <x v="1"/>
    <n v="7"/>
  </r>
  <r>
    <d v="2020-05-25T00:00:00"/>
    <n v="14.12"/>
    <x v="3"/>
    <s v="Escritório"/>
    <x v="1"/>
    <n v="8"/>
  </r>
  <r>
    <d v="2020-05-25T00:00:00"/>
    <n v="54.81"/>
    <x v="3"/>
    <s v="Escritório"/>
    <x v="1"/>
    <n v="8"/>
  </r>
  <r>
    <d v="2020-06-10T00:00:00"/>
    <n v="67.790000000000006"/>
    <x v="2"/>
    <s v="MAGAZINE LUIZA"/>
    <x v="1"/>
    <n v="9"/>
  </r>
  <r>
    <d v="2020-06-10T00:00:00"/>
    <n v="11.47"/>
    <x v="2"/>
    <s v="EQUIPAMENTO SKY"/>
    <x v="1"/>
    <n v="10"/>
  </r>
  <r>
    <d v="2020-06-20T00:00:00"/>
    <n v="14.9"/>
    <x v="0"/>
    <s v="Fonte Notebook"/>
    <x v="1"/>
    <n v="10"/>
  </r>
  <r>
    <d v="2020-06-20T00:00:00"/>
    <n v="116.67"/>
    <x v="4"/>
    <s v="TV"/>
    <x v="1"/>
    <n v="8"/>
  </r>
  <r>
    <d v="2020-06-20T00:00:00"/>
    <n v="9.99"/>
    <x v="4"/>
    <s v="ANUIDADE"/>
    <x v="1"/>
    <n v="8"/>
  </r>
  <r>
    <d v="2020-06-25T00:00:00"/>
    <n v="14.12"/>
    <x v="3"/>
    <s v="Escritório"/>
    <x v="1"/>
    <n v="9"/>
  </r>
  <r>
    <d v="2020-06-25T00:00:00"/>
    <n v="54.81"/>
    <x v="3"/>
    <s v="Escritório"/>
    <x v="1"/>
    <n v="9"/>
  </r>
  <r>
    <d v="2020-07-10T00:00:00"/>
    <n v="67.790000000000006"/>
    <x v="2"/>
    <s v="MAGAZINE LUIZA"/>
    <x v="1"/>
    <n v="10"/>
  </r>
  <r>
    <d v="2020-07-10T00:00:00"/>
    <n v="11.47"/>
    <x v="2"/>
    <s v="EQUIPAMENTO SKY"/>
    <x v="1"/>
    <n v="11"/>
  </r>
  <r>
    <d v="2020-07-20T00:00:00"/>
    <n v="116.67"/>
    <x v="4"/>
    <s v="TV"/>
    <x v="1"/>
    <n v="9"/>
  </r>
  <r>
    <d v="2020-07-20T00:00:00"/>
    <n v="9.99"/>
    <x v="4"/>
    <s v="ANUIDADE"/>
    <x v="1"/>
    <n v="9"/>
  </r>
  <r>
    <d v="2020-07-25T00:00:00"/>
    <n v="14.12"/>
    <x v="3"/>
    <s v="Escritório"/>
    <x v="1"/>
    <n v="10"/>
  </r>
  <r>
    <d v="2020-07-25T00:00:00"/>
    <n v="54.81"/>
    <x v="3"/>
    <s v="Escritório"/>
    <x v="1"/>
    <n v="10"/>
  </r>
  <r>
    <d v="2020-08-10T00:00:00"/>
    <n v="67.790000000000006"/>
    <x v="2"/>
    <s v="MAGAZINE LUIZA"/>
    <x v="1"/>
    <n v="11"/>
  </r>
  <r>
    <d v="2020-08-20T00:00:00"/>
    <n v="116.67"/>
    <x v="4"/>
    <s v="TV"/>
    <x v="1"/>
    <n v="10"/>
  </r>
  <r>
    <d v="2020-08-20T00:00:00"/>
    <n v="9.99"/>
    <x v="4"/>
    <s v="ANUIDADE"/>
    <x v="1"/>
    <n v="10"/>
  </r>
  <r>
    <d v="2020-08-25T00:00:00"/>
    <n v="14.12"/>
    <x v="3"/>
    <s v="Escritório"/>
    <x v="1"/>
    <n v="11"/>
  </r>
  <r>
    <d v="2020-08-25T00:00:00"/>
    <n v="54.81"/>
    <x v="3"/>
    <s v="Escritório"/>
    <x v="1"/>
    <n v="11"/>
  </r>
  <r>
    <d v="2020-09-10T00:00:00"/>
    <n v="67.790000000000006"/>
    <x v="2"/>
    <s v="MAGAZINE LUIZA"/>
    <x v="1"/>
    <n v="12"/>
  </r>
  <r>
    <d v="2020-09-20T00:00:00"/>
    <n v="116.67"/>
    <x v="4"/>
    <s v="TV"/>
    <x v="1"/>
    <n v="11"/>
  </r>
  <r>
    <d v="2020-09-20T00:00:00"/>
    <n v="9.99"/>
    <x v="4"/>
    <s v="ANUIDADE"/>
    <x v="1"/>
    <n v="11"/>
  </r>
  <r>
    <d v="2020-09-25T00:00:00"/>
    <n v="14.12"/>
    <x v="3"/>
    <s v="Escritório"/>
    <x v="1"/>
    <n v="12"/>
  </r>
  <r>
    <d v="2020-10-20T00:00:00"/>
    <n v="116.67"/>
    <x v="4"/>
    <s v="TV"/>
    <x v="1"/>
    <n v="12"/>
  </r>
  <r>
    <d v="2020-10-20T00:00:00"/>
    <n v="9.99"/>
    <x v="4"/>
    <s v="ANUIDADE"/>
    <x v="1"/>
    <n v="12"/>
  </r>
  <r>
    <d v="2020-11-20T00:00:00"/>
    <n v="116.67"/>
    <x v="4"/>
    <s v="TV"/>
    <x v="1"/>
    <n v="13"/>
  </r>
  <r>
    <d v="2020-12-20T00:00:00"/>
    <n v="116.67"/>
    <x v="4"/>
    <s v="TV"/>
    <x v="1"/>
    <n v="14"/>
  </r>
  <r>
    <d v="2021-01-20T00:00:00"/>
    <n v="116.67"/>
    <x v="4"/>
    <s v="TV"/>
    <x v="1"/>
    <n v="15"/>
  </r>
  <r>
    <d v="2021-02-20T00:00:00"/>
    <n v="116.67"/>
    <x v="4"/>
    <s v="TV"/>
    <x v="1"/>
    <n v="16"/>
  </r>
  <r>
    <d v="2021-03-20T00:00:00"/>
    <n v="116.67"/>
    <x v="4"/>
    <s v="TV"/>
    <x v="1"/>
    <n v="17"/>
  </r>
  <r>
    <d v="2021-04-20T00:00:00"/>
    <n v="116.67"/>
    <x v="4"/>
    <s v="TV"/>
    <x v="1"/>
    <n v="18"/>
  </r>
  <r>
    <d v="2019-11-10T00:00:00"/>
    <n v="94.9"/>
    <x v="2"/>
    <s v="SoundBar"/>
    <x v="1"/>
    <n v="1"/>
  </r>
  <r>
    <d v="2019-12-10T00:00:00"/>
    <n v="94.9"/>
    <x v="2"/>
    <s v="SoundBar"/>
    <x v="1"/>
    <n v="2"/>
  </r>
  <r>
    <d v="2020-01-10T00:00:00"/>
    <n v="94.9"/>
    <x v="2"/>
    <s v="SoundBar"/>
    <x v="1"/>
    <n v="3"/>
  </r>
  <r>
    <d v="2020-02-10T00:00:00"/>
    <n v="94.9"/>
    <x v="2"/>
    <s v="SoundBar"/>
    <x v="1"/>
    <n v="4"/>
  </r>
  <r>
    <d v="2020-03-10T00:00:00"/>
    <n v="94.9"/>
    <x v="2"/>
    <s v="SoundBar"/>
    <x v="1"/>
    <n v="5"/>
  </r>
  <r>
    <d v="2020-04-10T00:00:00"/>
    <n v="94.9"/>
    <x v="2"/>
    <s v="SoundBar"/>
    <x v="1"/>
    <n v="6"/>
  </r>
  <r>
    <d v="2020-05-10T00:00:00"/>
    <n v="94.9"/>
    <x v="2"/>
    <s v="SoundBar"/>
    <x v="1"/>
    <n v="7"/>
  </r>
  <r>
    <d v="2020-06-10T00:00:00"/>
    <n v="94.9"/>
    <x v="2"/>
    <s v="SoundBar"/>
    <x v="1"/>
    <n v="8"/>
  </r>
  <r>
    <d v="2020-07-10T00:00:00"/>
    <n v="94.9"/>
    <x v="2"/>
    <s v="SoundBar"/>
    <x v="1"/>
    <n v="9"/>
  </r>
  <r>
    <d v="2020-08-10T00:00:00"/>
    <n v="94.9"/>
    <x v="2"/>
    <s v="SoundBar"/>
    <x v="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E1E88-1B86-4A33-B448-5F358D026FF5}" name="Tabela dinâmica4" cacheId="3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3:J9" firstHeaderRow="1" firstDataRow="1" firstDataCol="1" rowPageCount="1" colPageCount="1"/>
  <pivotFields count="6">
    <pivotField numFmtId="14" showAll="0"/>
    <pivotField dataField="1" numFmtId="44" showAll="0"/>
    <pivotField axis="axisRow" showAll="0" sortType="descending">
      <items count="6">
        <item x="2"/>
        <item x="1"/>
        <item x="3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2"/>
  </rowFields>
  <rowItems count="6">
    <i>
      <x/>
    </i>
    <i>
      <x v="3"/>
    </i>
    <i>
      <x v="2"/>
    </i>
    <i>
      <x v="1"/>
    </i>
    <i>
      <x v="4"/>
    </i>
    <i t="grand">
      <x/>
    </i>
  </rowItems>
  <colItems count="1">
    <i/>
  </colItems>
  <pageFields count="1">
    <pageField fld="4" item="0" hier="-1"/>
  </pageFields>
  <dataFields count="1">
    <dataField name="Soma de Vlr_Parcela" fld="1" baseField="0" baseItem="0" numFmtId="44"/>
  </dataFields>
  <formats count="1"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E59" totalsRowShown="0" headerRowDxfId="53" dataDxfId="51" headerRowBorderDxfId="52" tableBorderDxfId="50" totalsRowBorderDxfId="49">
  <sortState xmlns:xlrd2="http://schemas.microsoft.com/office/spreadsheetml/2017/richdata2" ref="A2:E59">
    <sortCondition ref="A1:A59"/>
  </sortState>
  <tableColumns count="5">
    <tableColumn id="1" xr3:uid="{00000000-0010-0000-0000-000001000000}" name="DATA" dataDxfId="48"/>
    <tableColumn id="2" xr3:uid="{00000000-0010-0000-0000-000002000000}" name="DESCRIÇÃO" dataDxfId="47"/>
    <tableColumn id="3" xr3:uid="{00000000-0010-0000-0000-000003000000}" name="GRUPO" dataDxfId="46"/>
    <tableColumn id="4" xr3:uid="{00000000-0010-0000-0000-000004000000}" name="VALOR" dataDxfId="45"/>
    <tableColumn id="5" xr3:uid="{00000000-0010-0000-0000-000005000000}" name="VAL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Despesas" displayName="fDespesas" ref="A1:E28" totalsRowCount="1" headerRowDxfId="16" dataDxfId="15" totalsRowDxfId="14" headerRowBorderDxfId="13">
  <autoFilter ref="A1:E27" xr:uid="{14ADD10A-AE3C-4877-8910-3AE86D6F690A}"/>
  <sortState xmlns:xlrd2="http://schemas.microsoft.com/office/spreadsheetml/2017/richdata2" ref="A2:E27">
    <sortCondition ref="A1:A27"/>
  </sortState>
  <tableColumns count="5">
    <tableColumn id="1" xr3:uid="{00000000-0010-0000-0100-000001000000}" name="Data" dataDxfId="12" totalsRowDxfId="7"/>
    <tableColumn id="2" xr3:uid="{00000000-0010-0000-0100-000002000000}" name="Fonte" dataDxfId="11" totalsRowDxfId="6"/>
    <tableColumn id="4" xr3:uid="{00000000-0010-0000-0100-000004000000}" name="Valor" totalsRowFunction="custom" dataDxfId="10" totalsRowDxfId="5">
      <totalsRowFormula array="1">1742.57+1191.01 -(SUMPRODUCT(N(YEAR(fDespesas[Data]) &amp;MONTH(fDespesas[Data]) = YEAR(SUBTOTAL(104,fDespesas[Data])) &amp; MONTH(SUBTOTAL(104,fDespesas[Data])))*(N(DAY(fDespesas[Data])&gt;=1)*N(DAY(fDespesas[Data])&lt;=10))*fDespesas[Valor]))</totalsRowFormula>
    </tableColumn>
    <tableColumn id="3" xr3:uid="{00000000-0010-0000-0100-000003000000}" name="SITUAÇÃO" totalsRowFunction="custom" dataDxfId="9" totalsRowDxfId="4">
      <totalsRowFormula array="1">1382 -(SUMPRODUCT(N(YEAR(fDespesas[Data]) &amp;MONTH(fDespesas[Data]) = YEAR(SUBTOTAL(104,fDespesas[Data])) &amp; MONTH(SUBTOTAL(104,fDespesas[Data])))*(N(DAY(fDespesas[Data])&gt;10)*N(DAY(fDespesas[Data])&lt;=31))*fDespesas[Valor]))</totalsRowFormula>
    </tableColumn>
    <tableColumn id="8" xr3:uid="{706C3CCE-92F6-4B17-A628-17A80C9EFFC0}" name="Categoria" dataDxfId="8" totalsRowDxfId="3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79FCA4-E1D4-4DA9-AB6E-DFFC9AA035A6}" name="Tabela5" displayName="Tabela5" ref="A1:F167" totalsRowCount="1" headerRowDxfId="24">
  <autoFilter ref="A1:F166" xr:uid="{C6DC2C1D-9AFD-4C08-AE59-9A7E08D80D5D}">
    <filterColumn colId="0">
      <filters>
        <dateGroupItem year="2019" month="12" dateTimeGrouping="month"/>
      </filters>
    </filterColumn>
  </autoFilter>
  <sortState xmlns:xlrd2="http://schemas.microsoft.com/office/spreadsheetml/2017/richdata2" ref="A2:F156">
    <sortCondition ref="A1:A156"/>
  </sortState>
  <tableColumns count="6">
    <tableColumn id="1" xr3:uid="{39E1D53A-A170-4AFE-AB57-5C31D4A8064A}" name="Vencimento" dataDxfId="23"/>
    <tableColumn id="4" xr3:uid="{117A0AA8-3B01-4189-8823-84C7EDE4CAFF}" name="Vlr_Parcela" totalsRowFunction="sum" dataDxfId="22" totalsRowDxfId="17"/>
    <tableColumn id="5" xr3:uid="{E658D07E-91FD-4182-907C-BBB83024901B}" name="Cartão" dataDxfId="21"/>
    <tableColumn id="6" xr3:uid="{06B2EAC7-EB99-405E-88F3-D83E53552FB9}" name="Descrição Compra" dataDxfId="20"/>
    <tableColumn id="9" xr3:uid="{A2679F66-F38A-412B-93A0-44354AAFB77B}" name="Situação" dataDxfId="19"/>
    <tableColumn id="11" xr3:uid="{E6BA3A7E-4F64-4D24-A408-25BC698ECDA5}" name="Parcela_Num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bSalario" displayName="tbSalario" ref="A1:G76" headerRowDxfId="43" dataDxfId="41" totalsRowDxfId="40" headerRowBorderDxfId="42">
  <autoFilter ref="A1:G76" xr:uid="{15627F65-C69B-42DB-8ABB-22D103C5C649}"/>
  <sortState xmlns:xlrd2="http://schemas.microsoft.com/office/spreadsheetml/2017/richdata2" ref="A2:G71">
    <sortCondition ref="A1:A61"/>
  </sortState>
  <tableColumns count="7">
    <tableColumn id="1" xr3:uid="{00000000-0010-0000-0200-000001000000}" name="Data" dataDxfId="39" totalsRowDxfId="38"/>
    <tableColumn id="2" xr3:uid="{00000000-0010-0000-0200-000002000000}" name="Receita Total" dataDxfId="37" totalsRowDxfId="36"/>
    <tableColumn id="6" xr3:uid="{00000000-0010-0000-0200-000006000000}" name="LOCAL" dataDxfId="35" totalsRowDxfId="34"/>
    <tableColumn id="4" xr3:uid="{00000000-0010-0000-0200-000004000000}" name="CARGO/FUNÇÃO" dataDxfId="33" totalsRowDxfId="32"/>
    <tableColumn id="7" xr3:uid="{00000000-0010-0000-0200-000007000000}" name="DESCRIÇÃO" dataDxfId="31" totalsRowDxfId="30"/>
    <tableColumn id="3" xr3:uid="{00000000-0010-0000-0200-000003000000}" name="FONTE" dataDxfId="29" totalsRowDxfId="28"/>
    <tableColumn id="5" xr3:uid="{00000000-0010-0000-0200-000005000000}" name="ÁREA ATUAÇÃO" dataDxfId="27" totalsRowDxfId="26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Cards">
    <tabColor theme="3" tint="-0.499984740745262"/>
  </sheetPr>
  <dimension ref="A1:E59"/>
  <sheetViews>
    <sheetView showGridLines="0" topLeftCell="A39" workbookViewId="0">
      <selection activeCell="A59" sqref="A59"/>
    </sheetView>
  </sheetViews>
  <sheetFormatPr defaultRowHeight="15"/>
  <cols>
    <col min="1" max="1" width="10.7109375" bestFit="1" customWidth="1"/>
    <col min="2" max="2" width="14.28515625" bestFit="1" customWidth="1"/>
    <col min="3" max="3" width="20" bestFit="1" customWidth="1"/>
    <col min="4" max="4" width="10.140625" bestFit="1" customWidth="1"/>
    <col min="5" max="5" width="10.7109375" bestFit="1" customWidth="1"/>
  </cols>
  <sheetData>
    <row r="1" spans="1:5" ht="15.75" thickBot="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</row>
    <row r="2" spans="1:5">
      <c r="A2" s="3">
        <v>42856</v>
      </c>
      <c r="B2" s="4" t="s">
        <v>5</v>
      </c>
      <c r="C2" s="4" t="s">
        <v>6</v>
      </c>
      <c r="D2" s="5">
        <v>307.45999999999998</v>
      </c>
      <c r="E2" s="6" t="s">
        <v>7</v>
      </c>
    </row>
    <row r="3" spans="1:5">
      <c r="A3" s="7">
        <v>42856</v>
      </c>
      <c r="B3" s="8" t="s">
        <v>8</v>
      </c>
      <c r="C3" s="8" t="s">
        <v>6</v>
      </c>
      <c r="D3" s="9">
        <v>150.53</v>
      </c>
      <c r="E3" s="10" t="s">
        <v>7</v>
      </c>
    </row>
    <row r="4" spans="1:5">
      <c r="A4" s="3">
        <v>42856</v>
      </c>
      <c r="B4" s="4" t="s">
        <v>9</v>
      </c>
      <c r="C4" s="4" t="s">
        <v>6</v>
      </c>
      <c r="D4" s="5">
        <v>113.07</v>
      </c>
      <c r="E4" s="6" t="s">
        <v>7</v>
      </c>
    </row>
    <row r="5" spans="1:5">
      <c r="A5" s="7">
        <v>42860</v>
      </c>
      <c r="B5" s="8" t="s">
        <v>10</v>
      </c>
      <c r="C5" s="8" t="s">
        <v>6</v>
      </c>
      <c r="D5" s="9">
        <v>67.83</v>
      </c>
      <c r="E5" s="10" t="s">
        <v>7</v>
      </c>
    </row>
    <row r="6" spans="1:5">
      <c r="A6" s="3">
        <v>42887</v>
      </c>
      <c r="B6" s="4" t="s">
        <v>5</v>
      </c>
      <c r="C6" s="4" t="s">
        <v>6</v>
      </c>
      <c r="D6" s="5">
        <v>344.42</v>
      </c>
      <c r="E6" s="6" t="s">
        <v>7</v>
      </c>
    </row>
    <row r="7" spans="1:5">
      <c r="A7" s="7">
        <v>42887</v>
      </c>
      <c r="B7" s="8" t="s">
        <v>8</v>
      </c>
      <c r="C7" s="8" t="s">
        <v>6</v>
      </c>
      <c r="D7" s="9">
        <v>172.47</v>
      </c>
      <c r="E7" s="10" t="s">
        <v>7</v>
      </c>
    </row>
    <row r="8" spans="1:5">
      <c r="A8" s="3">
        <v>42887</v>
      </c>
      <c r="B8" s="4" t="s">
        <v>9</v>
      </c>
      <c r="C8" s="4" t="s">
        <v>6</v>
      </c>
      <c r="D8" s="5">
        <v>108.18</v>
      </c>
      <c r="E8" s="6" t="s">
        <v>7</v>
      </c>
    </row>
    <row r="9" spans="1:5">
      <c r="A9" s="7">
        <v>42891</v>
      </c>
      <c r="B9" s="8" t="s">
        <v>10</v>
      </c>
      <c r="C9" s="8" t="s">
        <v>6</v>
      </c>
      <c r="D9" s="9">
        <v>47.86</v>
      </c>
      <c r="E9" s="10" t="s">
        <v>7</v>
      </c>
    </row>
    <row r="10" spans="1:5">
      <c r="A10" s="3">
        <v>42917</v>
      </c>
      <c r="B10" s="4" t="s">
        <v>5</v>
      </c>
      <c r="C10" s="4" t="s">
        <v>6</v>
      </c>
      <c r="D10" s="5">
        <v>597.23</v>
      </c>
      <c r="E10" s="6" t="s">
        <v>7</v>
      </c>
    </row>
    <row r="11" spans="1:5">
      <c r="A11" s="7">
        <v>42917</v>
      </c>
      <c r="B11" s="8" t="s">
        <v>9</v>
      </c>
      <c r="C11" s="8" t="s">
        <v>6</v>
      </c>
      <c r="D11" s="9">
        <v>126.81</v>
      </c>
      <c r="E11" s="10" t="s">
        <v>7</v>
      </c>
    </row>
    <row r="12" spans="1:5">
      <c r="A12" s="3">
        <v>42917</v>
      </c>
      <c r="B12" s="4" t="s">
        <v>8</v>
      </c>
      <c r="C12" s="4" t="s">
        <v>6</v>
      </c>
      <c r="D12" s="5">
        <v>111.4</v>
      </c>
      <c r="E12" s="6" t="s">
        <v>7</v>
      </c>
    </row>
    <row r="13" spans="1:5">
      <c r="A13" s="7">
        <v>42921</v>
      </c>
      <c r="B13" s="8" t="s">
        <v>10</v>
      </c>
      <c r="C13" s="8" t="s">
        <v>6</v>
      </c>
      <c r="D13" s="9">
        <v>49.18</v>
      </c>
      <c r="E13" s="10" t="s">
        <v>7</v>
      </c>
    </row>
    <row r="14" spans="1:5">
      <c r="A14" s="3">
        <v>42927</v>
      </c>
      <c r="B14" s="4" t="s">
        <v>11</v>
      </c>
      <c r="C14" s="4" t="s">
        <v>6</v>
      </c>
      <c r="D14" s="5">
        <v>89.43</v>
      </c>
      <c r="E14" s="6" t="s">
        <v>7</v>
      </c>
    </row>
    <row r="15" spans="1:5">
      <c r="A15" s="7">
        <v>42948</v>
      </c>
      <c r="B15" s="8" t="s">
        <v>5</v>
      </c>
      <c r="C15" s="8" t="s">
        <v>6</v>
      </c>
      <c r="D15" s="9">
        <v>566.47</v>
      </c>
      <c r="E15" s="10" t="s">
        <v>7</v>
      </c>
    </row>
    <row r="16" spans="1:5">
      <c r="A16" s="3">
        <v>42948</v>
      </c>
      <c r="B16" s="4" t="s">
        <v>9</v>
      </c>
      <c r="C16" s="4" t="s">
        <v>6</v>
      </c>
      <c r="D16" s="5">
        <v>157.93</v>
      </c>
      <c r="E16" s="6" t="s">
        <v>7</v>
      </c>
    </row>
    <row r="17" spans="1:5">
      <c r="A17" s="7">
        <v>42948</v>
      </c>
      <c r="B17" s="8" t="s">
        <v>8</v>
      </c>
      <c r="C17" s="8" t="s">
        <v>6</v>
      </c>
      <c r="D17" s="9">
        <v>128.77000000000001</v>
      </c>
      <c r="E17" s="10" t="s">
        <v>7</v>
      </c>
    </row>
    <row r="18" spans="1:5">
      <c r="A18" s="3">
        <v>42952</v>
      </c>
      <c r="B18" s="4" t="s">
        <v>10</v>
      </c>
      <c r="C18" s="4" t="s">
        <v>6</v>
      </c>
      <c r="D18" s="5">
        <v>47.86</v>
      </c>
      <c r="E18" s="6" t="s">
        <v>7</v>
      </c>
    </row>
    <row r="19" spans="1:5">
      <c r="A19" s="7">
        <v>42958</v>
      </c>
      <c r="B19" s="8" t="s">
        <v>11</v>
      </c>
      <c r="C19" s="8" t="s">
        <v>6</v>
      </c>
      <c r="D19" s="9">
        <v>149.71</v>
      </c>
      <c r="E19" s="10" t="s">
        <v>7</v>
      </c>
    </row>
    <row r="20" spans="1:5">
      <c r="A20" s="3">
        <v>42979</v>
      </c>
      <c r="B20" s="4" t="s">
        <v>5</v>
      </c>
      <c r="C20" s="4" t="s">
        <v>6</v>
      </c>
      <c r="D20" s="5">
        <v>678.1</v>
      </c>
      <c r="E20" s="6" t="s">
        <v>7</v>
      </c>
    </row>
    <row r="21" spans="1:5">
      <c r="A21" s="7">
        <v>42979</v>
      </c>
      <c r="B21" s="8" t="s">
        <v>8</v>
      </c>
      <c r="C21" s="8" t="s">
        <v>6</v>
      </c>
      <c r="D21" s="9">
        <v>190.8</v>
      </c>
      <c r="E21" s="10" t="s">
        <v>7</v>
      </c>
    </row>
    <row r="22" spans="1:5">
      <c r="A22" s="3">
        <v>42979</v>
      </c>
      <c r="B22" s="4" t="s">
        <v>9</v>
      </c>
      <c r="C22" s="4" t="s">
        <v>6</v>
      </c>
      <c r="D22" s="5">
        <v>188</v>
      </c>
      <c r="E22" s="6" t="s">
        <v>7</v>
      </c>
    </row>
    <row r="23" spans="1:5">
      <c r="A23" s="7">
        <v>42983</v>
      </c>
      <c r="B23" s="8" t="s">
        <v>10</v>
      </c>
      <c r="C23" s="8" t="s">
        <v>6</v>
      </c>
      <c r="D23" s="9">
        <v>47.86</v>
      </c>
      <c r="E23" s="10" t="s">
        <v>7</v>
      </c>
    </row>
    <row r="24" spans="1:5">
      <c r="A24" s="3">
        <v>42989</v>
      </c>
      <c r="B24" s="4" t="s">
        <v>11</v>
      </c>
      <c r="C24" s="4" t="s">
        <v>6</v>
      </c>
      <c r="D24" s="5">
        <v>203.56</v>
      </c>
      <c r="E24" s="6" t="s">
        <v>7</v>
      </c>
    </row>
    <row r="25" spans="1:5">
      <c r="A25" s="7">
        <v>43009</v>
      </c>
      <c r="B25" s="8" t="s">
        <v>5</v>
      </c>
      <c r="C25" s="8" t="s">
        <v>6</v>
      </c>
      <c r="D25" s="9">
        <v>540.13</v>
      </c>
      <c r="E25" s="10" t="s">
        <v>12</v>
      </c>
    </row>
    <row r="26" spans="1:5">
      <c r="A26" s="3">
        <v>43009</v>
      </c>
      <c r="B26" s="4" t="s">
        <v>8</v>
      </c>
      <c r="C26" s="4" t="s">
        <v>6</v>
      </c>
      <c r="D26" s="5">
        <v>203.81</v>
      </c>
      <c r="E26" s="6" t="s">
        <v>7</v>
      </c>
    </row>
    <row r="27" spans="1:5">
      <c r="A27" s="7">
        <v>43009</v>
      </c>
      <c r="B27" s="8" t="s">
        <v>9</v>
      </c>
      <c r="C27" s="8" t="s">
        <v>6</v>
      </c>
      <c r="D27" s="9">
        <v>79.650000000000006</v>
      </c>
      <c r="E27" s="10" t="s">
        <v>7</v>
      </c>
    </row>
    <row r="28" spans="1:5">
      <c r="A28" s="3">
        <v>43013</v>
      </c>
      <c r="B28" s="4" t="s">
        <v>10</v>
      </c>
      <c r="C28" s="4" t="s">
        <v>6</v>
      </c>
      <c r="D28" s="5">
        <v>47.86</v>
      </c>
      <c r="E28" s="6" t="s">
        <v>7</v>
      </c>
    </row>
    <row r="29" spans="1:5">
      <c r="A29" s="7">
        <v>43019</v>
      </c>
      <c r="B29" s="8" t="s">
        <v>11</v>
      </c>
      <c r="C29" s="8" t="s">
        <v>6</v>
      </c>
      <c r="D29" s="9">
        <v>236.76</v>
      </c>
      <c r="E29" s="10" t="s">
        <v>12</v>
      </c>
    </row>
    <row r="30" spans="1:5">
      <c r="A30" s="3">
        <v>43040</v>
      </c>
      <c r="B30" s="4" t="s">
        <v>5</v>
      </c>
      <c r="C30" s="4" t="s">
        <v>6</v>
      </c>
      <c r="D30" s="5">
        <v>339.93</v>
      </c>
      <c r="E30" s="6" t="s">
        <v>12</v>
      </c>
    </row>
    <row r="31" spans="1:5">
      <c r="A31" s="7">
        <v>43040</v>
      </c>
      <c r="B31" s="8" t="s">
        <v>8</v>
      </c>
      <c r="C31" s="8" t="s">
        <v>6</v>
      </c>
      <c r="D31" s="9">
        <v>154</v>
      </c>
      <c r="E31" s="10" t="s">
        <v>12</v>
      </c>
    </row>
    <row r="32" spans="1:5">
      <c r="A32" s="3">
        <v>43040</v>
      </c>
      <c r="B32" s="4" t="s">
        <v>9</v>
      </c>
      <c r="C32" s="4" t="s">
        <v>6</v>
      </c>
      <c r="D32" s="5">
        <v>278.39999999999998</v>
      </c>
      <c r="E32" s="6" t="s">
        <v>12</v>
      </c>
    </row>
    <row r="33" spans="1:5">
      <c r="A33" s="7">
        <v>43044</v>
      </c>
      <c r="B33" s="8" t="s">
        <v>10</v>
      </c>
      <c r="C33" s="8" t="s">
        <v>6</v>
      </c>
      <c r="D33" s="9">
        <v>47.86</v>
      </c>
      <c r="E33" s="10" t="s">
        <v>12</v>
      </c>
    </row>
    <row r="34" spans="1:5">
      <c r="A34" s="3">
        <v>43050</v>
      </c>
      <c r="B34" s="4" t="s">
        <v>11</v>
      </c>
      <c r="C34" s="4" t="s">
        <v>6</v>
      </c>
      <c r="D34" s="5">
        <v>79.09</v>
      </c>
      <c r="E34" s="6" t="s">
        <v>12</v>
      </c>
    </row>
    <row r="35" spans="1:5">
      <c r="A35" s="7">
        <v>43059</v>
      </c>
      <c r="B35" s="8" t="s">
        <v>13</v>
      </c>
      <c r="C35" s="8" t="s">
        <v>6</v>
      </c>
      <c r="D35" s="9">
        <v>43.98</v>
      </c>
      <c r="E35" s="10" t="s">
        <v>12</v>
      </c>
    </row>
    <row r="36" spans="1:5">
      <c r="A36" s="3">
        <v>43060</v>
      </c>
      <c r="B36" s="4" t="s">
        <v>14</v>
      </c>
      <c r="C36" s="4" t="s">
        <v>6</v>
      </c>
      <c r="D36" s="5">
        <v>56.65</v>
      </c>
      <c r="E36" s="6" t="s">
        <v>12</v>
      </c>
    </row>
    <row r="37" spans="1:5">
      <c r="A37" s="7">
        <v>43070</v>
      </c>
      <c r="B37" s="8" t="s">
        <v>5</v>
      </c>
      <c r="C37" s="8" t="s">
        <v>6</v>
      </c>
      <c r="D37" s="9">
        <v>302.99</v>
      </c>
      <c r="E37" s="10" t="s">
        <v>12</v>
      </c>
    </row>
    <row r="38" spans="1:5">
      <c r="A38" s="3">
        <v>43070</v>
      </c>
      <c r="B38" s="4" t="s">
        <v>8</v>
      </c>
      <c r="C38" s="4" t="s">
        <v>6</v>
      </c>
      <c r="D38" s="5">
        <v>123.75</v>
      </c>
      <c r="E38" s="6" t="s">
        <v>12</v>
      </c>
    </row>
    <row r="39" spans="1:5">
      <c r="A39" s="3">
        <v>43070</v>
      </c>
      <c r="B39" s="4" t="s">
        <v>9</v>
      </c>
      <c r="C39" s="4" t="s">
        <v>6</v>
      </c>
      <c r="D39" s="5">
        <v>109.62</v>
      </c>
      <c r="E39" s="6" t="s">
        <v>12</v>
      </c>
    </row>
    <row r="40" spans="1:5">
      <c r="A40" s="7">
        <v>43080</v>
      </c>
      <c r="B40" s="8" t="s">
        <v>11</v>
      </c>
      <c r="C40" s="8" t="s">
        <v>6</v>
      </c>
      <c r="D40" s="9">
        <v>36.04</v>
      </c>
      <c r="E40" s="10" t="s">
        <v>12</v>
      </c>
    </row>
    <row r="41" spans="1:5">
      <c r="A41" s="3">
        <v>43089</v>
      </c>
      <c r="B41" s="4" t="s">
        <v>13</v>
      </c>
      <c r="C41" s="4" t="s">
        <v>6</v>
      </c>
      <c r="D41" s="5">
        <v>43.98</v>
      </c>
      <c r="E41" s="6" t="s">
        <v>12</v>
      </c>
    </row>
    <row r="42" spans="1:5">
      <c r="A42" s="7">
        <v>43090</v>
      </c>
      <c r="B42" s="8" t="s">
        <v>14</v>
      </c>
      <c r="C42" s="8" t="s">
        <v>6</v>
      </c>
      <c r="D42" s="9">
        <v>56.65</v>
      </c>
      <c r="E42" s="10" t="s">
        <v>12</v>
      </c>
    </row>
    <row r="43" spans="1:5">
      <c r="A43" s="3">
        <v>43101</v>
      </c>
      <c r="B43" s="4" t="s">
        <v>5</v>
      </c>
      <c r="C43" s="4" t="s">
        <v>6</v>
      </c>
      <c r="D43" s="5">
        <v>302.99</v>
      </c>
      <c r="E43" s="6" t="s">
        <v>12</v>
      </c>
    </row>
    <row r="44" spans="1:5">
      <c r="A44" s="7">
        <v>43101</v>
      </c>
      <c r="B44" s="8" t="s">
        <v>8</v>
      </c>
      <c r="C44" s="8" t="s">
        <v>6</v>
      </c>
      <c r="D44" s="9">
        <v>123.75</v>
      </c>
      <c r="E44" s="10" t="s">
        <v>12</v>
      </c>
    </row>
    <row r="45" spans="1:5">
      <c r="A45" s="7">
        <v>43101</v>
      </c>
      <c r="B45" s="8" t="s">
        <v>9</v>
      </c>
      <c r="C45" s="8" t="s">
        <v>6</v>
      </c>
      <c r="D45" s="9">
        <v>109.62</v>
      </c>
      <c r="E45" s="10" t="s">
        <v>12</v>
      </c>
    </row>
    <row r="46" spans="1:5">
      <c r="A46" s="7">
        <v>43120</v>
      </c>
      <c r="B46" s="8" t="s">
        <v>13</v>
      </c>
      <c r="C46" s="8" t="s">
        <v>6</v>
      </c>
      <c r="D46" s="9">
        <v>43.98</v>
      </c>
      <c r="E46" s="10" t="s">
        <v>12</v>
      </c>
    </row>
    <row r="47" spans="1:5">
      <c r="A47" s="3">
        <v>43121</v>
      </c>
      <c r="B47" s="4" t="s">
        <v>14</v>
      </c>
      <c r="C47" s="4" t="s">
        <v>6</v>
      </c>
      <c r="D47" s="5">
        <v>56.65</v>
      </c>
      <c r="E47" s="6" t="s">
        <v>12</v>
      </c>
    </row>
    <row r="48" spans="1:5">
      <c r="A48" s="3">
        <v>43132</v>
      </c>
      <c r="B48" s="4" t="s">
        <v>5</v>
      </c>
      <c r="C48" s="4" t="s">
        <v>6</v>
      </c>
      <c r="D48" s="5">
        <v>57.319999999999993</v>
      </c>
      <c r="E48" s="6" t="s">
        <v>12</v>
      </c>
    </row>
    <row r="49" spans="1:5">
      <c r="A49" s="7">
        <v>43132</v>
      </c>
      <c r="B49" s="8" t="s">
        <v>8</v>
      </c>
      <c r="C49" s="8" t="s">
        <v>6</v>
      </c>
      <c r="D49" s="9">
        <v>123.75</v>
      </c>
      <c r="E49" s="10" t="s">
        <v>12</v>
      </c>
    </row>
    <row r="50" spans="1:5">
      <c r="A50" s="3">
        <v>43151</v>
      </c>
      <c r="B50" s="4" t="s">
        <v>13</v>
      </c>
      <c r="C50" s="4" t="s">
        <v>6</v>
      </c>
      <c r="D50" s="5">
        <v>43.98</v>
      </c>
      <c r="E50" s="6" t="s">
        <v>12</v>
      </c>
    </row>
    <row r="51" spans="1:5">
      <c r="A51" s="7">
        <v>43152</v>
      </c>
      <c r="B51" s="8" t="s">
        <v>14</v>
      </c>
      <c r="C51" s="8" t="s">
        <v>6</v>
      </c>
      <c r="D51" s="9">
        <v>56.65</v>
      </c>
      <c r="E51" s="10" t="s">
        <v>12</v>
      </c>
    </row>
    <row r="52" spans="1:5">
      <c r="A52" s="3">
        <v>43160</v>
      </c>
      <c r="B52" s="4" t="s">
        <v>5</v>
      </c>
      <c r="C52" s="4" t="s">
        <v>6</v>
      </c>
      <c r="D52" s="5">
        <v>57.319999999999993</v>
      </c>
      <c r="E52" s="6" t="s">
        <v>12</v>
      </c>
    </row>
    <row r="53" spans="1:5">
      <c r="A53" s="7">
        <v>43160</v>
      </c>
      <c r="B53" s="8" t="s">
        <v>8</v>
      </c>
      <c r="C53" s="8" t="s">
        <v>6</v>
      </c>
      <c r="D53" s="9">
        <v>123.75</v>
      </c>
      <c r="E53" s="10" t="s">
        <v>12</v>
      </c>
    </row>
    <row r="54" spans="1:5">
      <c r="A54" s="7">
        <v>43179</v>
      </c>
      <c r="B54" s="8" t="s">
        <v>13</v>
      </c>
      <c r="C54" s="8" t="s">
        <v>6</v>
      </c>
      <c r="D54" s="9">
        <v>43.98</v>
      </c>
      <c r="E54" s="10" t="s">
        <v>12</v>
      </c>
    </row>
    <row r="55" spans="1:5">
      <c r="A55" s="3">
        <v>43180</v>
      </c>
      <c r="B55" s="4" t="s">
        <v>14</v>
      </c>
      <c r="C55" s="4" t="s">
        <v>6</v>
      </c>
      <c r="D55" s="5">
        <v>56.65</v>
      </c>
      <c r="E55" s="6" t="s">
        <v>12</v>
      </c>
    </row>
    <row r="56" spans="1:5">
      <c r="A56" s="3">
        <v>43191</v>
      </c>
      <c r="B56" s="4" t="s">
        <v>5</v>
      </c>
      <c r="C56" s="4" t="s">
        <v>6</v>
      </c>
      <c r="D56" s="5">
        <v>57.319999999999993</v>
      </c>
      <c r="E56" s="6" t="s">
        <v>12</v>
      </c>
    </row>
    <row r="57" spans="1:5">
      <c r="A57" s="7">
        <v>43191</v>
      </c>
      <c r="B57" s="8" t="s">
        <v>8</v>
      </c>
      <c r="C57" s="8" t="s">
        <v>6</v>
      </c>
      <c r="D57" s="9">
        <v>62.09</v>
      </c>
      <c r="E57" s="10" t="s">
        <v>12</v>
      </c>
    </row>
    <row r="58" spans="1:5">
      <c r="A58" s="7">
        <v>43211</v>
      </c>
      <c r="B58" s="8" t="s">
        <v>14</v>
      </c>
      <c r="C58" s="8" t="s">
        <v>6</v>
      </c>
      <c r="D58" s="9">
        <v>56.65</v>
      </c>
      <c r="E58" s="10" t="s">
        <v>12</v>
      </c>
    </row>
    <row r="59" spans="1:5">
      <c r="A59" s="14">
        <v>43221</v>
      </c>
      <c r="B59" s="15" t="s">
        <v>8</v>
      </c>
      <c r="C59" s="15" t="s">
        <v>6</v>
      </c>
      <c r="D59" s="16">
        <v>62.09</v>
      </c>
      <c r="E59" s="17" t="s">
        <v>12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Despesas">
    <tabColor theme="8" tint="-0.499984740745262"/>
  </sheetPr>
  <dimension ref="A1:G33"/>
  <sheetViews>
    <sheetView showGridLines="0" tabSelected="1" zoomScaleNormal="100" workbookViewId="0"/>
  </sheetViews>
  <sheetFormatPr defaultColWidth="9.140625" defaultRowHeight="15"/>
  <cols>
    <col min="1" max="1" width="11" style="2" bestFit="1" customWidth="1"/>
    <col min="2" max="2" width="17.85546875" style="1" bestFit="1" customWidth="1"/>
    <col min="3" max="3" width="12" style="1" bestFit="1" customWidth="1"/>
    <col min="4" max="4" width="14.7109375" style="1" bestFit="1" customWidth="1"/>
    <col min="5" max="5" width="19.85546875" style="1" bestFit="1" customWidth="1"/>
    <col min="6" max="7" width="23.28515625" style="1" bestFit="1" customWidth="1"/>
    <col min="8" max="8" width="23.28515625" style="1" customWidth="1"/>
    <col min="9" max="9" width="10.5703125" style="1" bestFit="1" customWidth="1"/>
    <col min="10" max="10" width="12.140625" style="1" bestFit="1" customWidth="1"/>
    <col min="11" max="11" width="11.7109375" style="1" bestFit="1" customWidth="1"/>
    <col min="12" max="12" width="12.140625" style="1" bestFit="1" customWidth="1"/>
    <col min="13" max="15" width="10.5703125" style="1" bestFit="1" customWidth="1"/>
    <col min="16" max="16384" width="9.140625" style="1"/>
  </cols>
  <sheetData>
    <row r="1" spans="1:7" ht="15.75" thickBot="1">
      <c r="A1" s="31" t="s">
        <v>21</v>
      </c>
      <c r="B1" s="11" t="s">
        <v>20</v>
      </c>
      <c r="C1" s="11" t="s">
        <v>19</v>
      </c>
      <c r="D1" s="12" t="s">
        <v>23</v>
      </c>
      <c r="E1" s="42" t="s">
        <v>73</v>
      </c>
    </row>
    <row r="2" spans="1:7" ht="15.75">
      <c r="A2" s="21">
        <v>43772</v>
      </c>
      <c r="B2" s="19" t="s">
        <v>24</v>
      </c>
      <c r="C2" s="20">
        <v>65</v>
      </c>
      <c r="D2" s="19" t="s">
        <v>12</v>
      </c>
      <c r="E2" s="32" t="s">
        <v>75</v>
      </c>
    </row>
    <row r="3" spans="1:7" ht="15.75">
      <c r="A3" s="33">
        <v>43774</v>
      </c>
      <c r="B3" s="27" t="s">
        <v>15</v>
      </c>
      <c r="C3" s="28">
        <v>1500</v>
      </c>
      <c r="D3" s="27" t="s">
        <v>12</v>
      </c>
      <c r="E3" s="32" t="s">
        <v>75</v>
      </c>
    </row>
    <row r="4" spans="1:7" ht="15.75">
      <c r="A4" s="21">
        <v>43774</v>
      </c>
      <c r="B4" s="27" t="s">
        <v>67</v>
      </c>
      <c r="C4" s="28">
        <v>256.27999999999997</v>
      </c>
      <c r="D4" s="27" t="s">
        <v>12</v>
      </c>
      <c r="E4" s="32" t="s">
        <v>76</v>
      </c>
    </row>
    <row r="5" spans="1:7" ht="15.75">
      <c r="A5" s="33">
        <v>43779</v>
      </c>
      <c r="B5" s="27" t="s">
        <v>26</v>
      </c>
      <c r="C5" s="28">
        <v>520</v>
      </c>
      <c r="D5" s="27" t="s">
        <v>12</v>
      </c>
      <c r="E5" s="32" t="s">
        <v>77</v>
      </c>
    </row>
    <row r="6" spans="1:7" ht="15.75">
      <c r="A6" s="33">
        <v>43779</v>
      </c>
      <c r="B6" s="27" t="s">
        <v>66</v>
      </c>
      <c r="C6" s="34">
        <v>567.68000000000006</v>
      </c>
      <c r="D6" s="27" t="s">
        <v>12</v>
      </c>
      <c r="E6" s="32" t="s">
        <v>74</v>
      </c>
    </row>
    <row r="7" spans="1:7" ht="15.75">
      <c r="A7" s="21">
        <v>43789</v>
      </c>
      <c r="B7" s="27" t="s">
        <v>72</v>
      </c>
      <c r="C7" s="28">
        <v>126.66</v>
      </c>
      <c r="D7" s="19" t="s">
        <v>12</v>
      </c>
      <c r="E7" s="32" t="s">
        <v>74</v>
      </c>
    </row>
    <row r="8" spans="1:7" s="37" customFormat="1" ht="15.75">
      <c r="A8" s="33">
        <v>43794</v>
      </c>
      <c r="B8" s="27" t="s">
        <v>18</v>
      </c>
      <c r="C8" s="28">
        <v>84</v>
      </c>
      <c r="D8" s="27" t="s">
        <v>12</v>
      </c>
      <c r="E8" s="32" t="s">
        <v>75</v>
      </c>
      <c r="F8" s="38"/>
      <c r="G8" s="39"/>
    </row>
    <row r="9" spans="1:7" ht="15.75">
      <c r="A9" s="33">
        <v>43794</v>
      </c>
      <c r="B9" s="27" t="s">
        <v>17</v>
      </c>
      <c r="C9" s="28">
        <v>100</v>
      </c>
      <c r="D9" s="27" t="s">
        <v>12</v>
      </c>
      <c r="E9" s="32" t="s">
        <v>75</v>
      </c>
      <c r="F9" s="35"/>
      <c r="G9" s="34"/>
    </row>
    <row r="10" spans="1:7" ht="15.75">
      <c r="A10" s="33">
        <v>43794</v>
      </c>
      <c r="B10" s="27" t="s">
        <v>16</v>
      </c>
      <c r="C10" s="28">
        <v>52.39</v>
      </c>
      <c r="D10" s="27" t="s">
        <v>12</v>
      </c>
      <c r="E10" s="32" t="s">
        <v>75</v>
      </c>
      <c r="F10" s="35"/>
      <c r="G10" s="34"/>
    </row>
    <row r="11" spans="1:7" ht="15.75">
      <c r="A11" s="33">
        <v>43794</v>
      </c>
      <c r="B11" s="27" t="s">
        <v>25</v>
      </c>
      <c r="C11" s="28">
        <f>242.33+31.8+16.99</f>
        <v>291.12</v>
      </c>
      <c r="D11" s="27" t="s">
        <v>12</v>
      </c>
      <c r="E11" s="32" t="s">
        <v>74</v>
      </c>
      <c r="F11" s="35"/>
      <c r="G11" s="34"/>
    </row>
    <row r="12" spans="1:7" ht="15.75">
      <c r="A12" s="21">
        <v>43794</v>
      </c>
      <c r="B12" s="27" t="s">
        <v>68</v>
      </c>
      <c r="C12" s="28">
        <v>86.49</v>
      </c>
      <c r="D12" s="19" t="s">
        <v>12</v>
      </c>
      <c r="E12" s="32" t="s">
        <v>75</v>
      </c>
      <c r="F12" s="35"/>
    </row>
    <row r="13" spans="1:7" ht="15.75">
      <c r="A13" s="21">
        <v>43794</v>
      </c>
      <c r="B13" s="27" t="s">
        <v>71</v>
      </c>
      <c r="C13" s="28">
        <v>151.93</v>
      </c>
      <c r="D13" s="19" t="s">
        <v>12</v>
      </c>
      <c r="E13" s="32" t="s">
        <v>74</v>
      </c>
      <c r="F13" s="35"/>
    </row>
    <row r="14" spans="1:7" ht="15.75">
      <c r="A14" s="21">
        <v>43794</v>
      </c>
      <c r="B14" s="27" t="s">
        <v>70</v>
      </c>
      <c r="C14" s="36">
        <v>155.05000000000001</v>
      </c>
      <c r="D14" s="19" t="s">
        <v>12</v>
      </c>
      <c r="E14" s="32" t="s">
        <v>74</v>
      </c>
      <c r="F14" s="35"/>
    </row>
    <row r="15" spans="1:7" ht="15.75">
      <c r="A15" s="33">
        <v>43802</v>
      </c>
      <c r="B15" s="27" t="s">
        <v>24</v>
      </c>
      <c r="C15" s="20">
        <v>65</v>
      </c>
      <c r="D15" s="19" t="s">
        <v>12</v>
      </c>
      <c r="E15" s="32" t="s">
        <v>75</v>
      </c>
      <c r="F15" s="34"/>
    </row>
    <row r="16" spans="1:7" ht="15.75">
      <c r="A16" s="33">
        <v>43804</v>
      </c>
      <c r="B16" s="27" t="s">
        <v>15</v>
      </c>
      <c r="C16" s="28">
        <v>1500</v>
      </c>
      <c r="D16" s="27" t="s">
        <v>12</v>
      </c>
      <c r="E16" s="32" t="s">
        <v>75</v>
      </c>
      <c r="F16" s="34"/>
    </row>
    <row r="17" spans="1:6" ht="15.75">
      <c r="A17" s="33">
        <v>43804</v>
      </c>
      <c r="B17" s="27" t="s">
        <v>67</v>
      </c>
      <c r="C17" s="28">
        <v>256.27999999999997</v>
      </c>
      <c r="D17" s="27" t="s">
        <v>12</v>
      </c>
      <c r="E17" s="32" t="s">
        <v>76</v>
      </c>
      <c r="F17" s="34"/>
    </row>
    <row r="18" spans="1:6" ht="15.75">
      <c r="A18" s="33">
        <v>43809</v>
      </c>
      <c r="B18" s="27" t="s">
        <v>26</v>
      </c>
      <c r="C18" s="28">
        <v>520</v>
      </c>
      <c r="D18" s="27" t="s">
        <v>12</v>
      </c>
      <c r="E18" s="32" t="s">
        <v>77</v>
      </c>
      <c r="F18" s="34"/>
    </row>
    <row r="19" spans="1:6" ht="15.75">
      <c r="A19" s="33">
        <v>43809</v>
      </c>
      <c r="B19" s="27" t="s">
        <v>66</v>
      </c>
      <c r="C19" s="34">
        <v>567.67999999999995</v>
      </c>
      <c r="D19" s="27" t="s">
        <v>12</v>
      </c>
      <c r="E19" s="32" t="s">
        <v>74</v>
      </c>
      <c r="F19" s="34"/>
    </row>
    <row r="20" spans="1:6" ht="15.75">
      <c r="A20" s="21">
        <v>43819</v>
      </c>
      <c r="B20" s="27" t="s">
        <v>72</v>
      </c>
      <c r="C20" s="28">
        <v>126.66</v>
      </c>
      <c r="D20" s="19" t="s">
        <v>12</v>
      </c>
      <c r="E20" s="32" t="s">
        <v>74</v>
      </c>
      <c r="F20" s="34"/>
    </row>
    <row r="21" spans="1:6" ht="15.75">
      <c r="A21" s="33">
        <v>43824</v>
      </c>
      <c r="B21" s="27" t="s">
        <v>18</v>
      </c>
      <c r="C21" s="28">
        <v>84</v>
      </c>
      <c r="D21" s="27" t="s">
        <v>12</v>
      </c>
      <c r="E21" s="32" t="s">
        <v>75</v>
      </c>
      <c r="F21" s="34"/>
    </row>
    <row r="22" spans="1:6" ht="15.75">
      <c r="A22" s="33">
        <v>43824</v>
      </c>
      <c r="B22" s="27" t="s">
        <v>17</v>
      </c>
      <c r="C22" s="28">
        <v>100</v>
      </c>
      <c r="D22" s="27" t="s">
        <v>12</v>
      </c>
      <c r="E22" s="32" t="s">
        <v>75</v>
      </c>
      <c r="F22" s="34"/>
    </row>
    <row r="23" spans="1:6" ht="15.75">
      <c r="A23" s="33">
        <v>43824</v>
      </c>
      <c r="B23" s="27" t="s">
        <v>16</v>
      </c>
      <c r="C23" s="28">
        <v>52.39</v>
      </c>
      <c r="D23" s="27" t="s">
        <v>12</v>
      </c>
      <c r="E23" s="32" t="s">
        <v>75</v>
      </c>
      <c r="F23" s="34"/>
    </row>
    <row r="24" spans="1:6" ht="15.75">
      <c r="A24" s="33">
        <v>43824</v>
      </c>
      <c r="B24" s="27" t="s">
        <v>25</v>
      </c>
      <c r="C24" s="28">
        <v>242.33</v>
      </c>
      <c r="D24" s="27" t="s">
        <v>12</v>
      </c>
      <c r="E24" s="32" t="s">
        <v>74</v>
      </c>
      <c r="F24" s="34"/>
    </row>
    <row r="25" spans="1:6" ht="15.75">
      <c r="A25" s="21">
        <v>43824</v>
      </c>
      <c r="B25" s="27" t="s">
        <v>68</v>
      </c>
      <c r="C25" s="28">
        <v>86.49</v>
      </c>
      <c r="D25" s="19" t="s">
        <v>12</v>
      </c>
      <c r="E25" s="32" t="s">
        <v>75</v>
      </c>
      <c r="F25" s="34"/>
    </row>
    <row r="26" spans="1:6" ht="15.75">
      <c r="A26" s="21">
        <v>43819</v>
      </c>
      <c r="B26" s="27" t="s">
        <v>71</v>
      </c>
      <c r="C26" s="28">
        <v>116.95</v>
      </c>
      <c r="D26" s="19" t="s">
        <v>12</v>
      </c>
      <c r="E26" s="32" t="s">
        <v>74</v>
      </c>
      <c r="F26" s="34"/>
    </row>
    <row r="27" spans="1:6" ht="15.75">
      <c r="A27" s="21">
        <v>43824</v>
      </c>
      <c r="B27" s="27" t="s">
        <v>70</v>
      </c>
      <c r="C27" s="36">
        <v>155.05000000000001</v>
      </c>
      <c r="D27" s="19" t="s">
        <v>12</v>
      </c>
      <c r="E27" s="32" t="s">
        <v>74</v>
      </c>
      <c r="F27" s="34"/>
    </row>
    <row r="28" spans="1:6" ht="16.5">
      <c r="A28" s="21"/>
      <c r="B28" s="21"/>
      <c r="C28" s="40" cm="1">
        <f t="array" ref="C28">1742.57+1191.01 -(SUMPRODUCT(N(YEAR(fDespesas[Data]) &amp;MONTH(fDespesas[Data]) = YEAR(SUBTOTAL(104,fDespesas[Data])) &amp; MONTH(SUBTOTAL(104,fDespesas[Data])))*(N(DAY(fDespesas[Data])&gt;=1)*N(DAY(fDespesas[Data])&lt;=10))*fDespesas[Valor]))</f>
        <v>24.620000000000346</v>
      </c>
      <c r="D28" s="40" cm="1">
        <f t="array" ref="D28">1382 -(SUMPRODUCT(N(YEAR(fDespesas[Data]) &amp;MONTH(fDespesas[Data]) = YEAR(SUBTOTAL(104,fDespesas[Data])) &amp; MONTH(SUBTOTAL(104,fDespesas[Data])))*(N(DAY(fDespesas[Data])&gt;10)*N(DAY(fDespesas[Data])&lt;=31))*fDespesas[Valor]))</f>
        <v>418.12999999999988</v>
      </c>
      <c r="E28" s="41"/>
    </row>
    <row r="31" spans="1:6">
      <c r="C31" s="34"/>
      <c r="D31" s="2"/>
    </row>
    <row r="33" spans="4:4">
      <c r="D33" s="35"/>
    </row>
  </sheetData>
  <conditionalFormatting sqref="C28:D2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CF3E0-7204-4EC9-B97E-A773DD41E812}">
  <sheetPr>
    <tabColor theme="8" tint="-0.499984740745262"/>
  </sheetPr>
  <dimension ref="A1:J167"/>
  <sheetViews>
    <sheetView workbookViewId="0">
      <selection activeCell="C1" sqref="C1"/>
    </sheetView>
  </sheetViews>
  <sheetFormatPr defaultRowHeight="15"/>
  <cols>
    <col min="1" max="1" width="16.42578125" bestFit="1" customWidth="1"/>
    <col min="2" max="2" width="15.5703125" bestFit="1" customWidth="1"/>
    <col min="3" max="3" width="11.28515625" bestFit="1" customWidth="1"/>
    <col min="4" max="4" width="21.42578125" bestFit="1" customWidth="1"/>
    <col min="5" max="5" width="13" bestFit="1" customWidth="1"/>
    <col min="6" max="6" width="18.85546875" customWidth="1"/>
    <col min="7" max="7" width="11.28515625" bestFit="1" customWidth="1"/>
    <col min="9" max="9" width="18" bestFit="1" customWidth="1"/>
    <col min="10" max="10" width="19.28515625" bestFit="1" customWidth="1"/>
  </cols>
  <sheetData>
    <row r="1" spans="1:10">
      <c r="A1" s="18" t="s">
        <v>69</v>
      </c>
      <c r="B1" s="18" t="s">
        <v>80</v>
      </c>
      <c r="C1" s="18" t="s">
        <v>81</v>
      </c>
      <c r="D1" s="18" t="s">
        <v>82</v>
      </c>
      <c r="E1" s="18" t="s">
        <v>88</v>
      </c>
      <c r="F1" s="18" t="s">
        <v>93</v>
      </c>
      <c r="I1" s="43" t="s">
        <v>88</v>
      </c>
      <c r="J1" t="s">
        <v>12</v>
      </c>
    </row>
    <row r="2" spans="1:10" hidden="1">
      <c r="A2" s="30">
        <v>43728</v>
      </c>
      <c r="B2" s="29">
        <v>34.979999999999997</v>
      </c>
      <c r="C2" s="18" t="s">
        <v>83</v>
      </c>
      <c r="D2" s="18" t="s">
        <v>84</v>
      </c>
      <c r="E2" s="18" t="s">
        <v>7</v>
      </c>
      <c r="F2" s="18">
        <v>1</v>
      </c>
    </row>
    <row r="3" spans="1:10" hidden="1">
      <c r="A3" s="30">
        <v>43728</v>
      </c>
      <c r="B3" s="29">
        <v>14.9</v>
      </c>
      <c r="C3" s="18" t="s">
        <v>83</v>
      </c>
      <c r="D3" s="18" t="s">
        <v>85</v>
      </c>
      <c r="E3" s="18" t="s">
        <v>7</v>
      </c>
      <c r="F3" s="18">
        <v>1</v>
      </c>
      <c r="I3" s="43" t="s">
        <v>78</v>
      </c>
      <c r="J3" t="s">
        <v>102</v>
      </c>
    </row>
    <row r="4" spans="1:10" hidden="1">
      <c r="A4" s="30">
        <v>43728</v>
      </c>
      <c r="B4" s="29">
        <v>58.2</v>
      </c>
      <c r="C4" s="18" t="s">
        <v>83</v>
      </c>
      <c r="D4" s="18" t="s">
        <v>86</v>
      </c>
      <c r="E4" s="18" t="s">
        <v>7</v>
      </c>
      <c r="F4" s="18">
        <v>1</v>
      </c>
      <c r="I4" s="44" t="s">
        <v>94</v>
      </c>
      <c r="J4" s="13">
        <v>3628.1899999999973</v>
      </c>
    </row>
    <row r="5" spans="1:10" hidden="1">
      <c r="A5" s="30">
        <v>43733</v>
      </c>
      <c r="B5" s="29">
        <v>115.55</v>
      </c>
      <c r="C5" s="18" t="s">
        <v>89</v>
      </c>
      <c r="D5" s="18" t="s">
        <v>90</v>
      </c>
      <c r="E5" s="18" t="s">
        <v>7</v>
      </c>
      <c r="F5" s="18">
        <v>1</v>
      </c>
      <c r="I5" s="44" t="s">
        <v>100</v>
      </c>
      <c r="J5" s="13">
        <v>2219.9400000000005</v>
      </c>
    </row>
    <row r="6" spans="1:10" hidden="1">
      <c r="A6" s="30">
        <v>43748</v>
      </c>
      <c r="B6" s="29">
        <v>67.790000000000006</v>
      </c>
      <c r="C6" s="18" t="s">
        <v>94</v>
      </c>
      <c r="D6" s="18" t="s">
        <v>95</v>
      </c>
      <c r="E6" s="18" t="s">
        <v>7</v>
      </c>
      <c r="F6" s="18">
        <v>1</v>
      </c>
      <c r="I6" s="44" t="s">
        <v>91</v>
      </c>
      <c r="J6" s="13">
        <v>1392.2199999999998</v>
      </c>
    </row>
    <row r="7" spans="1:10" hidden="1">
      <c r="A7" s="30">
        <v>43748</v>
      </c>
      <c r="B7" s="29">
        <v>140.46</v>
      </c>
      <c r="C7" s="18" t="s">
        <v>94</v>
      </c>
      <c r="D7" s="18" t="s">
        <v>95</v>
      </c>
      <c r="E7" s="18" t="s">
        <v>7</v>
      </c>
      <c r="F7" s="18">
        <v>6</v>
      </c>
      <c r="I7" s="44" t="s">
        <v>89</v>
      </c>
      <c r="J7" s="13">
        <v>930.3</v>
      </c>
    </row>
    <row r="8" spans="1:10" hidden="1">
      <c r="A8" s="30">
        <v>43748</v>
      </c>
      <c r="B8" s="29">
        <v>95.55</v>
      </c>
      <c r="C8" s="18" t="s">
        <v>94</v>
      </c>
      <c r="D8" s="18" t="s">
        <v>96</v>
      </c>
      <c r="E8" s="18" t="s">
        <v>7</v>
      </c>
      <c r="F8" s="18">
        <v>6</v>
      </c>
      <c r="I8" s="44" t="s">
        <v>83</v>
      </c>
      <c r="J8" s="13">
        <v>606.2299999999999</v>
      </c>
    </row>
    <row r="9" spans="1:10" hidden="1">
      <c r="A9" s="30">
        <v>43748</v>
      </c>
      <c r="B9" s="29">
        <v>17.18</v>
      </c>
      <c r="C9" s="18" t="s">
        <v>94</v>
      </c>
      <c r="D9" s="18" t="s">
        <v>5</v>
      </c>
      <c r="E9" s="18" t="s">
        <v>7</v>
      </c>
      <c r="F9" s="18">
        <v>6</v>
      </c>
      <c r="I9" s="44" t="s">
        <v>79</v>
      </c>
      <c r="J9" s="13">
        <v>8776.8799999999974</v>
      </c>
    </row>
    <row r="10" spans="1:10" hidden="1">
      <c r="A10" s="30">
        <v>43748</v>
      </c>
      <c r="B10" s="29">
        <v>11.47</v>
      </c>
      <c r="C10" s="18" t="s">
        <v>94</v>
      </c>
      <c r="D10" s="18" t="s">
        <v>97</v>
      </c>
      <c r="E10" s="18" t="s">
        <v>7</v>
      </c>
      <c r="F10" s="18">
        <v>2</v>
      </c>
    </row>
    <row r="11" spans="1:10" hidden="1">
      <c r="A11" s="30">
        <v>43748</v>
      </c>
      <c r="B11" s="29">
        <v>113.25</v>
      </c>
      <c r="C11" s="18" t="s">
        <v>94</v>
      </c>
      <c r="D11" s="18" t="s">
        <v>98</v>
      </c>
      <c r="E11" s="18" t="s">
        <v>7</v>
      </c>
      <c r="F11" s="18">
        <v>5</v>
      </c>
    </row>
    <row r="12" spans="1:10" hidden="1">
      <c r="A12" s="30">
        <v>43748</v>
      </c>
      <c r="B12" s="29">
        <v>27.08</v>
      </c>
      <c r="C12" s="18" t="s">
        <v>94</v>
      </c>
      <c r="D12" s="18" t="s">
        <v>99</v>
      </c>
      <c r="E12" s="18" t="s">
        <v>7</v>
      </c>
      <c r="F12" s="18">
        <v>6</v>
      </c>
    </row>
    <row r="13" spans="1:10" hidden="1">
      <c r="A13" s="30">
        <v>43758</v>
      </c>
      <c r="B13" s="29">
        <v>34.979999999999997</v>
      </c>
      <c r="C13" s="18" t="s">
        <v>83</v>
      </c>
      <c r="D13" s="18" t="s">
        <v>84</v>
      </c>
      <c r="E13" s="18" t="s">
        <v>7</v>
      </c>
      <c r="F13" s="18">
        <v>2</v>
      </c>
    </row>
    <row r="14" spans="1:10" hidden="1">
      <c r="A14" s="30">
        <v>43758</v>
      </c>
      <c r="B14" s="29">
        <v>43.85</v>
      </c>
      <c r="C14" s="18" t="s">
        <v>83</v>
      </c>
      <c r="D14" s="18" t="s">
        <v>87</v>
      </c>
      <c r="E14" s="18" t="s">
        <v>7</v>
      </c>
      <c r="F14" s="18">
        <v>1</v>
      </c>
    </row>
    <row r="15" spans="1:10" hidden="1">
      <c r="A15" s="30">
        <v>43758</v>
      </c>
      <c r="B15" s="29">
        <v>14.9</v>
      </c>
      <c r="C15" s="18" t="s">
        <v>83</v>
      </c>
      <c r="D15" s="18" t="s">
        <v>85</v>
      </c>
      <c r="E15" s="18" t="s">
        <v>7</v>
      </c>
      <c r="F15" s="18">
        <v>2</v>
      </c>
    </row>
    <row r="16" spans="1:10" hidden="1">
      <c r="A16" s="30">
        <v>43758</v>
      </c>
      <c r="B16" s="29">
        <v>58.2</v>
      </c>
      <c r="C16" s="18" t="s">
        <v>83</v>
      </c>
      <c r="D16" s="18" t="s">
        <v>86</v>
      </c>
      <c r="E16" s="18" t="s">
        <v>7</v>
      </c>
      <c r="F16" s="18">
        <v>2</v>
      </c>
    </row>
    <row r="17" spans="1:6" hidden="1">
      <c r="A17" s="30">
        <v>43763</v>
      </c>
      <c r="B17" s="29">
        <v>115.55</v>
      </c>
      <c r="C17" s="18" t="s">
        <v>89</v>
      </c>
      <c r="D17" s="18" t="s">
        <v>90</v>
      </c>
      <c r="E17" s="18" t="s">
        <v>7</v>
      </c>
      <c r="F17" s="18">
        <v>2</v>
      </c>
    </row>
    <row r="18" spans="1:6" hidden="1">
      <c r="A18" s="30">
        <v>43763</v>
      </c>
      <c r="B18" s="29">
        <v>69.489999999999995</v>
      </c>
      <c r="C18" s="18" t="s">
        <v>89</v>
      </c>
      <c r="D18" s="18" t="s">
        <v>86</v>
      </c>
      <c r="E18" s="18" t="s">
        <v>7</v>
      </c>
      <c r="F18" s="18">
        <v>1</v>
      </c>
    </row>
    <row r="19" spans="1:6" hidden="1">
      <c r="A19" s="30">
        <v>43763</v>
      </c>
      <c r="B19" s="29">
        <v>69.489999999999995</v>
      </c>
      <c r="C19" s="18" t="s">
        <v>89</v>
      </c>
      <c r="D19" s="18" t="s">
        <v>86</v>
      </c>
      <c r="E19" s="18" t="s">
        <v>7</v>
      </c>
      <c r="F19" s="18">
        <v>2</v>
      </c>
    </row>
    <row r="20" spans="1:6" hidden="1">
      <c r="A20" s="30">
        <v>43763</v>
      </c>
      <c r="B20" s="29">
        <v>117.2</v>
      </c>
      <c r="C20" s="18" t="s">
        <v>91</v>
      </c>
      <c r="D20" s="18" t="s">
        <v>92</v>
      </c>
      <c r="E20" s="18" t="s">
        <v>7</v>
      </c>
      <c r="F20" s="18">
        <v>5</v>
      </c>
    </row>
    <row r="21" spans="1:6" hidden="1">
      <c r="A21" s="30">
        <v>43763</v>
      </c>
      <c r="B21" s="29">
        <v>14.12</v>
      </c>
      <c r="C21" s="18" t="s">
        <v>91</v>
      </c>
      <c r="D21" s="18" t="s">
        <v>90</v>
      </c>
      <c r="E21" s="18" t="s">
        <v>7</v>
      </c>
      <c r="F21" s="18">
        <v>1</v>
      </c>
    </row>
    <row r="22" spans="1:6" hidden="1">
      <c r="A22" s="30">
        <v>43779</v>
      </c>
      <c r="B22" s="29">
        <v>67.790000000000006</v>
      </c>
      <c r="C22" s="18" t="s">
        <v>94</v>
      </c>
      <c r="D22" s="18" t="s">
        <v>95</v>
      </c>
      <c r="E22" s="18" t="s">
        <v>12</v>
      </c>
      <c r="F22" s="18">
        <v>2</v>
      </c>
    </row>
    <row r="23" spans="1:6" hidden="1">
      <c r="A23" s="30">
        <v>43779</v>
      </c>
      <c r="B23" s="29">
        <v>140.46</v>
      </c>
      <c r="C23" s="18" t="s">
        <v>94</v>
      </c>
      <c r="D23" s="18" t="s">
        <v>95</v>
      </c>
      <c r="E23" s="18" t="s">
        <v>12</v>
      </c>
      <c r="F23" s="18">
        <v>7</v>
      </c>
    </row>
    <row r="24" spans="1:6" hidden="1">
      <c r="A24" s="30">
        <v>43779</v>
      </c>
      <c r="B24" s="29">
        <v>95.55</v>
      </c>
      <c r="C24" s="18" t="s">
        <v>94</v>
      </c>
      <c r="D24" s="18" t="s">
        <v>96</v>
      </c>
      <c r="E24" s="18" t="s">
        <v>12</v>
      </c>
      <c r="F24" s="18">
        <v>7</v>
      </c>
    </row>
    <row r="25" spans="1:6" hidden="1">
      <c r="A25" s="30">
        <v>43779</v>
      </c>
      <c r="B25" s="29">
        <v>17.18</v>
      </c>
      <c r="C25" s="18" t="s">
        <v>94</v>
      </c>
      <c r="D25" s="18" t="s">
        <v>5</v>
      </c>
      <c r="E25" s="18" t="s">
        <v>12</v>
      </c>
      <c r="F25" s="18">
        <v>7</v>
      </c>
    </row>
    <row r="26" spans="1:6" hidden="1">
      <c r="A26" s="30">
        <v>43779</v>
      </c>
      <c r="B26" s="29">
        <v>11.47</v>
      </c>
      <c r="C26" s="18" t="s">
        <v>94</v>
      </c>
      <c r="D26" s="18" t="s">
        <v>97</v>
      </c>
      <c r="E26" s="18" t="s">
        <v>12</v>
      </c>
      <c r="F26" s="18">
        <v>3</v>
      </c>
    </row>
    <row r="27" spans="1:6" hidden="1">
      <c r="A27" s="30">
        <v>43779</v>
      </c>
      <c r="B27" s="29">
        <v>113.25</v>
      </c>
      <c r="C27" s="18" t="s">
        <v>94</v>
      </c>
      <c r="D27" s="18" t="s">
        <v>98</v>
      </c>
      <c r="E27" s="18" t="s">
        <v>12</v>
      </c>
      <c r="F27" s="18">
        <v>6</v>
      </c>
    </row>
    <row r="28" spans="1:6" hidden="1">
      <c r="A28" s="30">
        <v>43779</v>
      </c>
      <c r="B28" s="29">
        <v>27.08</v>
      </c>
      <c r="C28" s="18" t="s">
        <v>94</v>
      </c>
      <c r="D28" s="18" t="s">
        <v>99</v>
      </c>
      <c r="E28" s="18" t="s">
        <v>12</v>
      </c>
      <c r="F28" s="18">
        <v>7</v>
      </c>
    </row>
    <row r="29" spans="1:6" hidden="1">
      <c r="A29" s="30">
        <v>43789</v>
      </c>
      <c r="B29" s="29">
        <v>34.979999999999997</v>
      </c>
      <c r="C29" s="18" t="s">
        <v>83</v>
      </c>
      <c r="D29" s="18" t="s">
        <v>84</v>
      </c>
      <c r="E29" s="18" t="s">
        <v>12</v>
      </c>
      <c r="F29" s="18">
        <v>3</v>
      </c>
    </row>
    <row r="30" spans="1:6" hidden="1">
      <c r="A30" s="30">
        <v>43789</v>
      </c>
      <c r="B30" s="29">
        <v>43.85</v>
      </c>
      <c r="C30" s="18" t="s">
        <v>83</v>
      </c>
      <c r="D30" s="18" t="s">
        <v>87</v>
      </c>
      <c r="E30" s="18" t="s">
        <v>12</v>
      </c>
      <c r="F30" s="18">
        <v>2</v>
      </c>
    </row>
    <row r="31" spans="1:6" hidden="1">
      <c r="A31" s="30">
        <v>43789</v>
      </c>
      <c r="B31" s="29">
        <v>14.9</v>
      </c>
      <c r="C31" s="18" t="s">
        <v>83</v>
      </c>
      <c r="D31" s="18" t="s">
        <v>85</v>
      </c>
      <c r="E31" s="18" t="s">
        <v>12</v>
      </c>
      <c r="F31" s="18">
        <v>3</v>
      </c>
    </row>
    <row r="32" spans="1:6" hidden="1">
      <c r="A32" s="30">
        <v>43789</v>
      </c>
      <c r="B32" s="29">
        <v>58.2</v>
      </c>
      <c r="C32" s="18" t="s">
        <v>83</v>
      </c>
      <c r="D32" s="18" t="s">
        <v>86</v>
      </c>
      <c r="E32" s="18" t="s">
        <v>12</v>
      </c>
      <c r="F32" s="18">
        <v>3</v>
      </c>
    </row>
    <row r="33" spans="1:6" hidden="1">
      <c r="A33" s="30">
        <v>43789</v>
      </c>
      <c r="B33" s="29">
        <v>116.67</v>
      </c>
      <c r="C33" s="18" t="s">
        <v>100</v>
      </c>
      <c r="D33" s="18" t="s">
        <v>101</v>
      </c>
      <c r="E33" s="18" t="s">
        <v>12</v>
      </c>
      <c r="F33" s="18">
        <v>1</v>
      </c>
    </row>
    <row r="34" spans="1:6" hidden="1">
      <c r="A34" s="30">
        <v>43789</v>
      </c>
      <c r="B34" s="29">
        <v>9.99</v>
      </c>
      <c r="C34" s="18" t="s">
        <v>100</v>
      </c>
      <c r="D34" s="18" t="s">
        <v>99</v>
      </c>
      <c r="E34" s="18" t="s">
        <v>12</v>
      </c>
      <c r="F34" s="18">
        <v>1</v>
      </c>
    </row>
    <row r="35" spans="1:6" hidden="1">
      <c r="A35" s="30">
        <v>43794</v>
      </c>
      <c r="B35" s="29">
        <v>115.55</v>
      </c>
      <c r="C35" s="18" t="s">
        <v>89</v>
      </c>
      <c r="D35" s="18" t="s">
        <v>90</v>
      </c>
      <c r="E35" s="18" t="s">
        <v>12</v>
      </c>
      <c r="F35" s="18">
        <v>3</v>
      </c>
    </row>
    <row r="36" spans="1:6" hidden="1">
      <c r="A36" s="30">
        <v>43794</v>
      </c>
      <c r="B36" s="29">
        <v>39.5</v>
      </c>
      <c r="C36" s="18" t="s">
        <v>89</v>
      </c>
      <c r="D36" s="18" t="s">
        <v>87</v>
      </c>
      <c r="E36" s="18" t="s">
        <v>12</v>
      </c>
      <c r="F36" s="18">
        <v>1</v>
      </c>
    </row>
    <row r="37" spans="1:6" hidden="1">
      <c r="A37" s="30">
        <v>43794</v>
      </c>
      <c r="B37" s="29">
        <v>117.2</v>
      </c>
      <c r="C37" s="18" t="s">
        <v>91</v>
      </c>
      <c r="D37" s="18" t="s">
        <v>92</v>
      </c>
      <c r="E37" s="18" t="s">
        <v>12</v>
      </c>
      <c r="F37" s="18">
        <v>6</v>
      </c>
    </row>
    <row r="38" spans="1:6" hidden="1">
      <c r="A38" s="30">
        <v>43794</v>
      </c>
      <c r="B38" s="29">
        <v>14.12</v>
      </c>
      <c r="C38" s="18" t="s">
        <v>91</v>
      </c>
      <c r="D38" s="18" t="s">
        <v>90</v>
      </c>
      <c r="E38" s="18" t="s">
        <v>12</v>
      </c>
      <c r="F38" s="18">
        <v>2</v>
      </c>
    </row>
    <row r="39" spans="1:6" hidden="1">
      <c r="A39" s="30">
        <v>43794</v>
      </c>
      <c r="B39" s="29">
        <v>54.81</v>
      </c>
      <c r="C39" s="18" t="s">
        <v>91</v>
      </c>
      <c r="D39" s="18" t="s">
        <v>90</v>
      </c>
      <c r="E39" s="18" t="s">
        <v>12</v>
      </c>
      <c r="F39" s="18">
        <v>2</v>
      </c>
    </row>
    <row r="40" spans="1:6" hidden="1">
      <c r="A40" s="30">
        <v>43794</v>
      </c>
      <c r="B40" s="29">
        <v>56.2</v>
      </c>
      <c r="C40" s="18" t="s">
        <v>91</v>
      </c>
      <c r="D40" s="18" t="s">
        <v>87</v>
      </c>
      <c r="E40" s="18" t="s">
        <v>12</v>
      </c>
      <c r="F40" s="18">
        <v>1</v>
      </c>
    </row>
    <row r="41" spans="1:6">
      <c r="A41" s="30">
        <v>43809</v>
      </c>
      <c r="B41" s="29">
        <v>67.790000000000006</v>
      </c>
      <c r="C41" s="18" t="s">
        <v>94</v>
      </c>
      <c r="D41" s="18" t="s">
        <v>95</v>
      </c>
      <c r="E41" s="18" t="s">
        <v>12</v>
      </c>
      <c r="F41" s="18">
        <v>3</v>
      </c>
    </row>
    <row r="42" spans="1:6">
      <c r="A42" s="30">
        <v>43809</v>
      </c>
      <c r="B42" s="29">
        <v>140.46</v>
      </c>
      <c r="C42" s="18" t="s">
        <v>94</v>
      </c>
      <c r="D42" s="18" t="s">
        <v>95</v>
      </c>
      <c r="E42" s="18" t="s">
        <v>12</v>
      </c>
      <c r="F42" s="18">
        <v>8</v>
      </c>
    </row>
    <row r="43" spans="1:6">
      <c r="A43" s="30">
        <v>43809</v>
      </c>
      <c r="B43" s="29">
        <v>95.55</v>
      </c>
      <c r="C43" s="18" t="s">
        <v>94</v>
      </c>
      <c r="D43" s="18" t="s">
        <v>96</v>
      </c>
      <c r="E43" s="18" t="s">
        <v>12</v>
      </c>
      <c r="F43" s="18">
        <v>8</v>
      </c>
    </row>
    <row r="44" spans="1:6">
      <c r="A44" s="30">
        <v>43809</v>
      </c>
      <c r="B44" s="29">
        <v>17.18</v>
      </c>
      <c r="C44" s="18" t="s">
        <v>94</v>
      </c>
      <c r="D44" s="18" t="s">
        <v>5</v>
      </c>
      <c r="E44" s="18" t="s">
        <v>12</v>
      </c>
      <c r="F44" s="18">
        <v>8</v>
      </c>
    </row>
    <row r="45" spans="1:6">
      <c r="A45" s="30">
        <v>43809</v>
      </c>
      <c r="B45" s="29">
        <v>11.47</v>
      </c>
      <c r="C45" s="18" t="s">
        <v>94</v>
      </c>
      <c r="D45" s="18" t="s">
        <v>97</v>
      </c>
      <c r="E45" s="18" t="s">
        <v>12</v>
      </c>
      <c r="F45" s="18">
        <v>4</v>
      </c>
    </row>
    <row r="46" spans="1:6">
      <c r="A46" s="30">
        <v>43809</v>
      </c>
      <c r="B46" s="29">
        <v>113.25</v>
      </c>
      <c r="C46" s="18" t="s">
        <v>94</v>
      </c>
      <c r="D46" s="18" t="s">
        <v>98</v>
      </c>
      <c r="E46" s="18" t="s">
        <v>12</v>
      </c>
      <c r="F46" s="18">
        <v>7</v>
      </c>
    </row>
    <row r="47" spans="1:6">
      <c r="A47" s="30">
        <v>43809</v>
      </c>
      <c r="B47" s="29">
        <v>27.08</v>
      </c>
      <c r="C47" s="18" t="s">
        <v>94</v>
      </c>
      <c r="D47" s="18" t="s">
        <v>99</v>
      </c>
      <c r="E47" s="18" t="s">
        <v>12</v>
      </c>
      <c r="F47" s="18">
        <v>8</v>
      </c>
    </row>
    <row r="48" spans="1:6">
      <c r="A48" s="30">
        <v>43819</v>
      </c>
      <c r="B48" s="29">
        <v>43.85</v>
      </c>
      <c r="C48" s="18" t="s">
        <v>83</v>
      </c>
      <c r="D48" s="18" t="s">
        <v>87</v>
      </c>
      <c r="E48" s="18" t="s">
        <v>12</v>
      </c>
      <c r="F48" s="18">
        <v>3</v>
      </c>
    </row>
    <row r="49" spans="1:6">
      <c r="A49" s="30">
        <v>43819</v>
      </c>
      <c r="B49" s="29">
        <v>14.9</v>
      </c>
      <c r="C49" s="18" t="s">
        <v>83</v>
      </c>
      <c r="D49" s="18" t="s">
        <v>85</v>
      </c>
      <c r="E49" s="18" t="s">
        <v>12</v>
      </c>
      <c r="F49" s="18">
        <v>4</v>
      </c>
    </row>
    <row r="50" spans="1:6">
      <c r="A50" s="30">
        <v>43819</v>
      </c>
      <c r="B50" s="29">
        <v>58.2</v>
      </c>
      <c r="C50" s="18" t="s">
        <v>83</v>
      </c>
      <c r="D50" s="18" t="s">
        <v>86</v>
      </c>
      <c r="E50" s="18" t="s">
        <v>12</v>
      </c>
      <c r="F50" s="18">
        <v>4</v>
      </c>
    </row>
    <row r="51" spans="1:6">
      <c r="A51" s="30">
        <v>43819</v>
      </c>
      <c r="B51" s="29">
        <v>116.67</v>
      </c>
      <c r="C51" s="18" t="s">
        <v>100</v>
      </c>
      <c r="D51" s="18" t="s">
        <v>101</v>
      </c>
      <c r="E51" s="18" t="s">
        <v>12</v>
      </c>
      <c r="F51" s="18">
        <v>2</v>
      </c>
    </row>
    <row r="52" spans="1:6">
      <c r="A52" s="30">
        <v>43819</v>
      </c>
      <c r="B52" s="29">
        <v>9.99</v>
      </c>
      <c r="C52" s="18" t="s">
        <v>100</v>
      </c>
      <c r="D52" s="18" t="s">
        <v>99</v>
      </c>
      <c r="E52" s="18" t="s">
        <v>12</v>
      </c>
      <c r="F52" s="18">
        <v>2</v>
      </c>
    </row>
    <row r="53" spans="1:6">
      <c r="A53" s="30">
        <v>43824</v>
      </c>
      <c r="B53" s="29">
        <v>115.55</v>
      </c>
      <c r="C53" s="18" t="s">
        <v>89</v>
      </c>
      <c r="D53" s="18" t="s">
        <v>90</v>
      </c>
      <c r="E53" s="18" t="s">
        <v>12</v>
      </c>
      <c r="F53" s="18">
        <v>4</v>
      </c>
    </row>
    <row r="54" spans="1:6">
      <c r="A54" s="30">
        <v>43824</v>
      </c>
      <c r="B54" s="29">
        <v>39.5</v>
      </c>
      <c r="C54" s="18" t="s">
        <v>89</v>
      </c>
      <c r="D54" s="18" t="s">
        <v>87</v>
      </c>
      <c r="E54" s="18" t="s">
        <v>12</v>
      </c>
      <c r="F54" s="18">
        <v>2</v>
      </c>
    </row>
    <row r="55" spans="1:6">
      <c r="A55" s="30">
        <v>43824</v>
      </c>
      <c r="B55" s="29">
        <v>117.2</v>
      </c>
      <c r="C55" s="18" t="s">
        <v>91</v>
      </c>
      <c r="D55" s="18" t="s">
        <v>92</v>
      </c>
      <c r="E55" s="18" t="s">
        <v>12</v>
      </c>
      <c r="F55" s="18">
        <v>7</v>
      </c>
    </row>
    <row r="56" spans="1:6">
      <c r="A56" s="30">
        <v>43824</v>
      </c>
      <c r="B56" s="29">
        <v>14.12</v>
      </c>
      <c r="C56" s="18" t="s">
        <v>91</v>
      </c>
      <c r="D56" s="18" t="s">
        <v>90</v>
      </c>
      <c r="E56" s="18" t="s">
        <v>12</v>
      </c>
      <c r="F56" s="18">
        <v>3</v>
      </c>
    </row>
    <row r="57" spans="1:6">
      <c r="A57" s="30">
        <v>43824</v>
      </c>
      <c r="B57" s="29">
        <v>54.81</v>
      </c>
      <c r="C57" s="18" t="s">
        <v>91</v>
      </c>
      <c r="D57" s="18" t="s">
        <v>90</v>
      </c>
      <c r="E57" s="18" t="s">
        <v>12</v>
      </c>
      <c r="F57" s="18">
        <v>3</v>
      </c>
    </row>
    <row r="58" spans="1:6">
      <c r="A58" s="30">
        <v>43824</v>
      </c>
      <c r="B58" s="29">
        <v>56.2</v>
      </c>
      <c r="C58" s="18" t="s">
        <v>91</v>
      </c>
      <c r="D58" s="18" t="s">
        <v>87</v>
      </c>
      <c r="E58" s="18" t="s">
        <v>12</v>
      </c>
      <c r="F58" s="18">
        <v>2</v>
      </c>
    </row>
    <row r="59" spans="1:6" hidden="1">
      <c r="A59" s="30">
        <v>43840</v>
      </c>
      <c r="B59" s="29">
        <v>67.790000000000006</v>
      </c>
      <c r="C59" s="18" t="s">
        <v>94</v>
      </c>
      <c r="D59" s="18" t="s">
        <v>95</v>
      </c>
      <c r="E59" s="18" t="s">
        <v>12</v>
      </c>
      <c r="F59" s="18">
        <v>4</v>
      </c>
    </row>
    <row r="60" spans="1:6" hidden="1">
      <c r="A60" s="30">
        <v>43840</v>
      </c>
      <c r="B60" s="29">
        <v>140.46</v>
      </c>
      <c r="C60" s="18" t="s">
        <v>94</v>
      </c>
      <c r="D60" s="18" t="s">
        <v>95</v>
      </c>
      <c r="E60" s="18" t="s">
        <v>12</v>
      </c>
      <c r="F60" s="18">
        <v>9</v>
      </c>
    </row>
    <row r="61" spans="1:6" hidden="1">
      <c r="A61" s="30">
        <v>43840</v>
      </c>
      <c r="B61" s="29">
        <v>95.55</v>
      </c>
      <c r="C61" s="18" t="s">
        <v>94</v>
      </c>
      <c r="D61" s="18" t="s">
        <v>96</v>
      </c>
      <c r="E61" s="18" t="s">
        <v>12</v>
      </c>
      <c r="F61" s="18">
        <v>9</v>
      </c>
    </row>
    <row r="62" spans="1:6" hidden="1">
      <c r="A62" s="30">
        <v>43840</v>
      </c>
      <c r="B62" s="29">
        <v>17.18</v>
      </c>
      <c r="C62" s="18" t="s">
        <v>94</v>
      </c>
      <c r="D62" s="18" t="s">
        <v>5</v>
      </c>
      <c r="E62" s="18" t="s">
        <v>12</v>
      </c>
      <c r="F62" s="18">
        <v>9</v>
      </c>
    </row>
    <row r="63" spans="1:6" hidden="1">
      <c r="A63" s="30">
        <v>43840</v>
      </c>
      <c r="B63" s="29">
        <v>11.47</v>
      </c>
      <c r="C63" s="18" t="s">
        <v>94</v>
      </c>
      <c r="D63" s="18" t="s">
        <v>97</v>
      </c>
      <c r="E63" s="18" t="s">
        <v>12</v>
      </c>
      <c r="F63" s="18">
        <v>5</v>
      </c>
    </row>
    <row r="64" spans="1:6" hidden="1">
      <c r="A64" s="30">
        <v>43840</v>
      </c>
      <c r="B64" s="29">
        <v>113.25</v>
      </c>
      <c r="C64" s="18" t="s">
        <v>94</v>
      </c>
      <c r="D64" s="18" t="s">
        <v>98</v>
      </c>
      <c r="E64" s="18" t="s">
        <v>12</v>
      </c>
      <c r="F64" s="18">
        <v>8</v>
      </c>
    </row>
    <row r="65" spans="1:6" hidden="1">
      <c r="A65" s="30">
        <v>43840</v>
      </c>
      <c r="B65" s="29">
        <v>27.08</v>
      </c>
      <c r="C65" s="18" t="s">
        <v>94</v>
      </c>
      <c r="D65" s="18" t="s">
        <v>99</v>
      </c>
      <c r="E65" s="18" t="s">
        <v>12</v>
      </c>
      <c r="F65" s="18">
        <v>9</v>
      </c>
    </row>
    <row r="66" spans="1:6" hidden="1">
      <c r="A66" s="30">
        <v>43850</v>
      </c>
      <c r="B66" s="29">
        <v>43.85</v>
      </c>
      <c r="C66" s="18" t="s">
        <v>83</v>
      </c>
      <c r="D66" s="18" t="s">
        <v>87</v>
      </c>
      <c r="E66" s="18" t="s">
        <v>12</v>
      </c>
      <c r="F66" s="18">
        <v>4</v>
      </c>
    </row>
    <row r="67" spans="1:6" hidden="1">
      <c r="A67" s="30">
        <v>43850</v>
      </c>
      <c r="B67" s="29">
        <v>14.9</v>
      </c>
      <c r="C67" s="18" t="s">
        <v>83</v>
      </c>
      <c r="D67" s="18" t="s">
        <v>85</v>
      </c>
      <c r="E67" s="18" t="s">
        <v>12</v>
      </c>
      <c r="F67" s="18">
        <v>5</v>
      </c>
    </row>
    <row r="68" spans="1:6" hidden="1">
      <c r="A68" s="30">
        <v>43850</v>
      </c>
      <c r="B68" s="29">
        <v>58.2</v>
      </c>
      <c r="C68" s="18" t="s">
        <v>83</v>
      </c>
      <c r="D68" s="18" t="s">
        <v>86</v>
      </c>
      <c r="E68" s="18" t="s">
        <v>12</v>
      </c>
      <c r="F68" s="18">
        <v>5</v>
      </c>
    </row>
    <row r="69" spans="1:6" hidden="1">
      <c r="A69" s="30">
        <v>43850</v>
      </c>
      <c r="B69" s="29">
        <v>116.67</v>
      </c>
      <c r="C69" s="18" t="s">
        <v>100</v>
      </c>
      <c r="D69" s="18" t="s">
        <v>101</v>
      </c>
      <c r="E69" s="18" t="s">
        <v>12</v>
      </c>
      <c r="F69" s="18">
        <v>3</v>
      </c>
    </row>
    <row r="70" spans="1:6" hidden="1">
      <c r="A70" s="30">
        <v>43850</v>
      </c>
      <c r="B70" s="29">
        <v>9.99</v>
      </c>
      <c r="C70" s="18" t="s">
        <v>100</v>
      </c>
      <c r="D70" s="18" t="s">
        <v>99</v>
      </c>
      <c r="E70" s="18" t="s">
        <v>12</v>
      </c>
      <c r="F70" s="18">
        <v>3</v>
      </c>
    </row>
    <row r="71" spans="1:6" hidden="1">
      <c r="A71" s="30">
        <v>43855</v>
      </c>
      <c r="B71" s="29">
        <v>115.55</v>
      </c>
      <c r="C71" s="18" t="s">
        <v>89</v>
      </c>
      <c r="D71" s="18" t="s">
        <v>90</v>
      </c>
      <c r="E71" s="18" t="s">
        <v>12</v>
      </c>
      <c r="F71" s="18">
        <v>5</v>
      </c>
    </row>
    <row r="72" spans="1:6" hidden="1">
      <c r="A72" s="30">
        <v>43855</v>
      </c>
      <c r="B72" s="29">
        <v>39.5</v>
      </c>
      <c r="C72" s="18" t="s">
        <v>89</v>
      </c>
      <c r="D72" s="18" t="s">
        <v>87</v>
      </c>
      <c r="E72" s="18" t="s">
        <v>12</v>
      </c>
      <c r="F72" s="18">
        <v>3</v>
      </c>
    </row>
    <row r="73" spans="1:6" hidden="1">
      <c r="A73" s="30">
        <v>43855</v>
      </c>
      <c r="B73" s="29">
        <v>117.2</v>
      </c>
      <c r="C73" s="18" t="s">
        <v>91</v>
      </c>
      <c r="D73" s="18" t="s">
        <v>92</v>
      </c>
      <c r="E73" s="18" t="s">
        <v>12</v>
      </c>
      <c r="F73" s="18">
        <v>8</v>
      </c>
    </row>
    <row r="74" spans="1:6" hidden="1">
      <c r="A74" s="30">
        <v>43855</v>
      </c>
      <c r="B74" s="29">
        <v>14.12</v>
      </c>
      <c r="C74" s="18" t="s">
        <v>91</v>
      </c>
      <c r="D74" s="18" t="s">
        <v>90</v>
      </c>
      <c r="E74" s="18" t="s">
        <v>12</v>
      </c>
      <c r="F74" s="18">
        <v>4</v>
      </c>
    </row>
    <row r="75" spans="1:6" hidden="1">
      <c r="A75" s="30">
        <v>43855</v>
      </c>
      <c r="B75" s="29">
        <v>54.81</v>
      </c>
      <c r="C75" s="18" t="s">
        <v>91</v>
      </c>
      <c r="D75" s="18" t="s">
        <v>90</v>
      </c>
      <c r="E75" s="18" t="s">
        <v>12</v>
      </c>
      <c r="F75" s="18">
        <v>4</v>
      </c>
    </row>
    <row r="76" spans="1:6" hidden="1">
      <c r="A76" s="30">
        <v>43855</v>
      </c>
      <c r="B76" s="29">
        <v>56.2</v>
      </c>
      <c r="C76" s="18" t="s">
        <v>91</v>
      </c>
      <c r="D76" s="18" t="s">
        <v>87</v>
      </c>
      <c r="E76" s="18" t="s">
        <v>12</v>
      </c>
      <c r="F76" s="18">
        <v>3</v>
      </c>
    </row>
    <row r="77" spans="1:6" hidden="1">
      <c r="A77" s="30">
        <v>43871</v>
      </c>
      <c r="B77" s="29">
        <v>67.790000000000006</v>
      </c>
      <c r="C77" s="18" t="s">
        <v>94</v>
      </c>
      <c r="D77" s="18" t="s">
        <v>95</v>
      </c>
      <c r="E77" s="18" t="s">
        <v>12</v>
      </c>
      <c r="F77" s="18">
        <v>5</v>
      </c>
    </row>
    <row r="78" spans="1:6" hidden="1">
      <c r="A78" s="30">
        <v>43871</v>
      </c>
      <c r="B78" s="29">
        <v>140.46</v>
      </c>
      <c r="C78" s="18" t="s">
        <v>94</v>
      </c>
      <c r="D78" s="18" t="s">
        <v>95</v>
      </c>
      <c r="E78" s="18" t="s">
        <v>12</v>
      </c>
      <c r="F78" s="18">
        <v>10</v>
      </c>
    </row>
    <row r="79" spans="1:6" hidden="1">
      <c r="A79" s="30">
        <v>43871</v>
      </c>
      <c r="B79" s="29">
        <v>95.55</v>
      </c>
      <c r="C79" s="18" t="s">
        <v>94</v>
      </c>
      <c r="D79" s="18" t="s">
        <v>96</v>
      </c>
      <c r="E79" s="18" t="s">
        <v>12</v>
      </c>
      <c r="F79" s="18">
        <v>10</v>
      </c>
    </row>
    <row r="80" spans="1:6" hidden="1">
      <c r="A80" s="30">
        <v>43871</v>
      </c>
      <c r="B80" s="29">
        <v>17.18</v>
      </c>
      <c r="C80" s="18" t="s">
        <v>94</v>
      </c>
      <c r="D80" s="18" t="s">
        <v>5</v>
      </c>
      <c r="E80" s="18" t="s">
        <v>12</v>
      </c>
      <c r="F80" s="18">
        <v>10</v>
      </c>
    </row>
    <row r="81" spans="1:6" hidden="1">
      <c r="A81" s="30">
        <v>43871</v>
      </c>
      <c r="B81" s="29">
        <v>11.47</v>
      </c>
      <c r="C81" s="18" t="s">
        <v>94</v>
      </c>
      <c r="D81" s="18" t="s">
        <v>97</v>
      </c>
      <c r="E81" s="18" t="s">
        <v>12</v>
      </c>
      <c r="F81" s="18">
        <v>6</v>
      </c>
    </row>
    <row r="82" spans="1:6" hidden="1">
      <c r="A82" s="30">
        <v>43871</v>
      </c>
      <c r="B82" s="29">
        <v>27.08</v>
      </c>
      <c r="C82" s="18" t="s">
        <v>94</v>
      </c>
      <c r="D82" s="18" t="s">
        <v>99</v>
      </c>
      <c r="E82" s="18" t="s">
        <v>12</v>
      </c>
      <c r="F82" s="18">
        <v>10</v>
      </c>
    </row>
    <row r="83" spans="1:6" hidden="1">
      <c r="A83" s="30">
        <v>43881</v>
      </c>
      <c r="B83" s="29">
        <v>43.85</v>
      </c>
      <c r="C83" s="18" t="s">
        <v>83</v>
      </c>
      <c r="D83" s="18" t="s">
        <v>87</v>
      </c>
      <c r="E83" s="18" t="s">
        <v>12</v>
      </c>
      <c r="F83" s="18">
        <v>5</v>
      </c>
    </row>
    <row r="84" spans="1:6" hidden="1">
      <c r="A84" s="30">
        <v>43881</v>
      </c>
      <c r="B84" s="29">
        <v>14.9</v>
      </c>
      <c r="C84" s="18" t="s">
        <v>83</v>
      </c>
      <c r="D84" s="18" t="s">
        <v>85</v>
      </c>
      <c r="E84" s="18" t="s">
        <v>12</v>
      </c>
      <c r="F84" s="18">
        <v>6</v>
      </c>
    </row>
    <row r="85" spans="1:6" hidden="1">
      <c r="A85" s="30">
        <v>43881</v>
      </c>
      <c r="B85" s="29">
        <v>58.2</v>
      </c>
      <c r="C85" s="18" t="s">
        <v>83</v>
      </c>
      <c r="D85" s="18" t="s">
        <v>86</v>
      </c>
      <c r="E85" s="18" t="s">
        <v>12</v>
      </c>
      <c r="F85" s="18">
        <v>6</v>
      </c>
    </row>
    <row r="86" spans="1:6" hidden="1">
      <c r="A86" s="30">
        <v>43881</v>
      </c>
      <c r="B86" s="29">
        <v>116.67</v>
      </c>
      <c r="C86" s="18" t="s">
        <v>100</v>
      </c>
      <c r="D86" s="18" t="s">
        <v>101</v>
      </c>
      <c r="E86" s="18" t="s">
        <v>12</v>
      </c>
      <c r="F86" s="18">
        <v>4</v>
      </c>
    </row>
    <row r="87" spans="1:6" hidden="1">
      <c r="A87" s="30">
        <v>43881</v>
      </c>
      <c r="B87" s="29">
        <v>9.99</v>
      </c>
      <c r="C87" s="18" t="s">
        <v>100</v>
      </c>
      <c r="D87" s="18" t="s">
        <v>99</v>
      </c>
      <c r="E87" s="18" t="s">
        <v>12</v>
      </c>
      <c r="F87" s="18">
        <v>4</v>
      </c>
    </row>
    <row r="88" spans="1:6" hidden="1">
      <c r="A88" s="30">
        <v>43886</v>
      </c>
      <c r="B88" s="29">
        <v>115.55</v>
      </c>
      <c r="C88" s="18" t="s">
        <v>89</v>
      </c>
      <c r="D88" s="18" t="s">
        <v>90</v>
      </c>
      <c r="E88" s="18" t="s">
        <v>12</v>
      </c>
      <c r="F88" s="18">
        <v>6</v>
      </c>
    </row>
    <row r="89" spans="1:6" hidden="1">
      <c r="A89" s="30">
        <v>43886</v>
      </c>
      <c r="B89" s="29">
        <v>39.5</v>
      </c>
      <c r="C89" s="18" t="s">
        <v>89</v>
      </c>
      <c r="D89" s="18" t="s">
        <v>87</v>
      </c>
      <c r="E89" s="18" t="s">
        <v>12</v>
      </c>
      <c r="F89" s="18">
        <v>4</v>
      </c>
    </row>
    <row r="90" spans="1:6" hidden="1">
      <c r="A90" s="30">
        <v>43886</v>
      </c>
      <c r="B90" s="29">
        <v>14.12</v>
      </c>
      <c r="C90" s="18" t="s">
        <v>91</v>
      </c>
      <c r="D90" s="18" t="s">
        <v>90</v>
      </c>
      <c r="E90" s="18" t="s">
        <v>12</v>
      </c>
      <c r="F90" s="18">
        <v>5</v>
      </c>
    </row>
    <row r="91" spans="1:6" hidden="1">
      <c r="A91" s="30">
        <v>43886</v>
      </c>
      <c r="B91" s="29">
        <v>54.81</v>
      </c>
      <c r="C91" s="18" t="s">
        <v>91</v>
      </c>
      <c r="D91" s="18" t="s">
        <v>90</v>
      </c>
      <c r="E91" s="18" t="s">
        <v>12</v>
      </c>
      <c r="F91" s="18">
        <v>5</v>
      </c>
    </row>
    <row r="92" spans="1:6" hidden="1">
      <c r="A92" s="30">
        <v>43886</v>
      </c>
      <c r="B92" s="29">
        <v>56.2</v>
      </c>
      <c r="C92" s="18" t="s">
        <v>91</v>
      </c>
      <c r="D92" s="18" t="s">
        <v>87</v>
      </c>
      <c r="E92" s="18" t="s">
        <v>12</v>
      </c>
      <c r="F92" s="18">
        <v>4</v>
      </c>
    </row>
    <row r="93" spans="1:6" hidden="1">
      <c r="A93" s="30">
        <v>43900</v>
      </c>
      <c r="B93" s="29">
        <v>67.790000000000006</v>
      </c>
      <c r="C93" s="18" t="s">
        <v>94</v>
      </c>
      <c r="D93" s="18" t="s">
        <v>95</v>
      </c>
      <c r="E93" s="18" t="s">
        <v>12</v>
      </c>
      <c r="F93" s="18">
        <v>6</v>
      </c>
    </row>
    <row r="94" spans="1:6" hidden="1">
      <c r="A94" s="30">
        <v>43900</v>
      </c>
      <c r="B94" s="29">
        <v>140.46</v>
      </c>
      <c r="C94" s="18" t="s">
        <v>94</v>
      </c>
      <c r="D94" s="18" t="s">
        <v>95</v>
      </c>
      <c r="E94" s="18" t="s">
        <v>12</v>
      </c>
      <c r="F94" s="18">
        <v>11</v>
      </c>
    </row>
    <row r="95" spans="1:6" hidden="1">
      <c r="A95" s="30">
        <v>43900</v>
      </c>
      <c r="B95" s="29">
        <v>17.18</v>
      </c>
      <c r="C95" s="18" t="s">
        <v>94</v>
      </c>
      <c r="D95" s="18" t="s">
        <v>5</v>
      </c>
      <c r="E95" s="18" t="s">
        <v>12</v>
      </c>
      <c r="F95" s="18">
        <v>11</v>
      </c>
    </row>
    <row r="96" spans="1:6" hidden="1">
      <c r="A96" s="30">
        <v>43900</v>
      </c>
      <c r="B96" s="29">
        <v>11.47</v>
      </c>
      <c r="C96" s="18" t="s">
        <v>94</v>
      </c>
      <c r="D96" s="18" t="s">
        <v>97</v>
      </c>
      <c r="E96" s="18" t="s">
        <v>12</v>
      </c>
      <c r="F96" s="18">
        <v>7</v>
      </c>
    </row>
    <row r="97" spans="1:6" hidden="1">
      <c r="A97" s="30">
        <v>43900</v>
      </c>
      <c r="B97" s="29">
        <v>27.08</v>
      </c>
      <c r="C97" s="18" t="s">
        <v>94</v>
      </c>
      <c r="D97" s="18" t="s">
        <v>99</v>
      </c>
      <c r="E97" s="18" t="s">
        <v>12</v>
      </c>
      <c r="F97" s="18">
        <v>11</v>
      </c>
    </row>
    <row r="98" spans="1:6" hidden="1">
      <c r="A98" s="30">
        <v>43910</v>
      </c>
      <c r="B98" s="29">
        <v>43.85</v>
      </c>
      <c r="C98" s="18" t="s">
        <v>83</v>
      </c>
      <c r="D98" s="18" t="s">
        <v>87</v>
      </c>
      <c r="E98" s="18" t="s">
        <v>12</v>
      </c>
      <c r="F98" s="18">
        <v>6</v>
      </c>
    </row>
    <row r="99" spans="1:6" hidden="1">
      <c r="A99" s="30">
        <v>43910</v>
      </c>
      <c r="B99" s="29">
        <v>14.9</v>
      </c>
      <c r="C99" s="18" t="s">
        <v>83</v>
      </c>
      <c r="D99" s="18" t="s">
        <v>85</v>
      </c>
      <c r="E99" s="18" t="s">
        <v>12</v>
      </c>
      <c r="F99" s="18">
        <v>7</v>
      </c>
    </row>
    <row r="100" spans="1:6" hidden="1">
      <c r="A100" s="30">
        <v>43910</v>
      </c>
      <c r="B100" s="29">
        <v>116.67</v>
      </c>
      <c r="C100" s="18" t="s">
        <v>100</v>
      </c>
      <c r="D100" s="18" t="s">
        <v>101</v>
      </c>
      <c r="E100" s="18" t="s">
        <v>12</v>
      </c>
      <c r="F100" s="18">
        <v>5</v>
      </c>
    </row>
    <row r="101" spans="1:6" hidden="1">
      <c r="A101" s="30">
        <v>43910</v>
      </c>
      <c r="B101" s="29">
        <v>9.99</v>
      </c>
      <c r="C101" s="18" t="s">
        <v>100</v>
      </c>
      <c r="D101" s="18" t="s">
        <v>99</v>
      </c>
      <c r="E101" s="18" t="s">
        <v>12</v>
      </c>
      <c r="F101" s="18">
        <v>5</v>
      </c>
    </row>
    <row r="102" spans="1:6" hidden="1">
      <c r="A102" s="30">
        <v>43915</v>
      </c>
      <c r="B102" s="29">
        <v>115.55</v>
      </c>
      <c r="C102" s="18" t="s">
        <v>89</v>
      </c>
      <c r="D102" s="18" t="s">
        <v>90</v>
      </c>
      <c r="E102" s="18" t="s">
        <v>12</v>
      </c>
      <c r="F102" s="18">
        <v>7</v>
      </c>
    </row>
    <row r="103" spans="1:6" hidden="1">
      <c r="A103" s="30">
        <v>43915</v>
      </c>
      <c r="B103" s="29">
        <v>39.5</v>
      </c>
      <c r="C103" s="18" t="s">
        <v>89</v>
      </c>
      <c r="D103" s="18" t="s">
        <v>87</v>
      </c>
      <c r="E103" s="18" t="s">
        <v>12</v>
      </c>
      <c r="F103" s="18">
        <v>5</v>
      </c>
    </row>
    <row r="104" spans="1:6" hidden="1">
      <c r="A104" s="30">
        <v>43915</v>
      </c>
      <c r="B104" s="29">
        <v>14.12</v>
      </c>
      <c r="C104" s="18" t="s">
        <v>91</v>
      </c>
      <c r="D104" s="18" t="s">
        <v>90</v>
      </c>
      <c r="E104" s="18" t="s">
        <v>12</v>
      </c>
      <c r="F104" s="18">
        <v>6</v>
      </c>
    </row>
    <row r="105" spans="1:6" hidden="1">
      <c r="A105" s="30">
        <v>43915</v>
      </c>
      <c r="B105" s="29">
        <v>54.81</v>
      </c>
      <c r="C105" s="18" t="s">
        <v>91</v>
      </c>
      <c r="D105" s="18" t="s">
        <v>90</v>
      </c>
      <c r="E105" s="18" t="s">
        <v>12</v>
      </c>
      <c r="F105" s="18">
        <v>6</v>
      </c>
    </row>
    <row r="106" spans="1:6" hidden="1">
      <c r="A106" s="30">
        <v>43915</v>
      </c>
      <c r="B106" s="29">
        <v>56.2</v>
      </c>
      <c r="C106" s="18" t="s">
        <v>91</v>
      </c>
      <c r="D106" s="18" t="s">
        <v>87</v>
      </c>
      <c r="E106" s="18" t="s">
        <v>12</v>
      </c>
      <c r="F106" s="18">
        <v>5</v>
      </c>
    </row>
    <row r="107" spans="1:6" hidden="1">
      <c r="A107" s="30">
        <v>43931</v>
      </c>
      <c r="B107" s="29">
        <v>67.790000000000006</v>
      </c>
      <c r="C107" s="18" t="s">
        <v>94</v>
      </c>
      <c r="D107" s="18" t="s">
        <v>95</v>
      </c>
      <c r="E107" s="18" t="s">
        <v>12</v>
      </c>
      <c r="F107" s="18">
        <v>7</v>
      </c>
    </row>
    <row r="108" spans="1:6" hidden="1">
      <c r="A108" s="30">
        <v>43931</v>
      </c>
      <c r="B108" s="29">
        <v>140.46</v>
      </c>
      <c r="C108" s="18" t="s">
        <v>94</v>
      </c>
      <c r="D108" s="18" t="s">
        <v>95</v>
      </c>
      <c r="E108" s="18" t="s">
        <v>12</v>
      </c>
      <c r="F108" s="18">
        <v>12</v>
      </c>
    </row>
    <row r="109" spans="1:6" hidden="1">
      <c r="A109" s="30">
        <v>43931</v>
      </c>
      <c r="B109" s="29">
        <v>17.18</v>
      </c>
      <c r="C109" s="18" t="s">
        <v>94</v>
      </c>
      <c r="D109" s="18" t="s">
        <v>5</v>
      </c>
      <c r="E109" s="18" t="s">
        <v>12</v>
      </c>
      <c r="F109" s="18">
        <v>12</v>
      </c>
    </row>
    <row r="110" spans="1:6" hidden="1">
      <c r="A110" s="30">
        <v>43931</v>
      </c>
      <c r="B110" s="29">
        <v>11.47</v>
      </c>
      <c r="C110" s="18" t="s">
        <v>94</v>
      </c>
      <c r="D110" s="18" t="s">
        <v>97</v>
      </c>
      <c r="E110" s="18" t="s">
        <v>12</v>
      </c>
      <c r="F110" s="18">
        <v>8</v>
      </c>
    </row>
    <row r="111" spans="1:6" hidden="1">
      <c r="A111" s="30">
        <v>43931</v>
      </c>
      <c r="B111" s="29">
        <v>27.08</v>
      </c>
      <c r="C111" s="18" t="s">
        <v>94</v>
      </c>
      <c r="D111" s="18" t="s">
        <v>99</v>
      </c>
      <c r="E111" s="18" t="s">
        <v>12</v>
      </c>
      <c r="F111" s="18">
        <v>12</v>
      </c>
    </row>
    <row r="112" spans="1:6" hidden="1">
      <c r="A112" s="30">
        <v>43941</v>
      </c>
      <c r="B112" s="29">
        <v>14.9</v>
      </c>
      <c r="C112" s="18" t="s">
        <v>83</v>
      </c>
      <c r="D112" s="18" t="s">
        <v>85</v>
      </c>
      <c r="E112" s="18" t="s">
        <v>12</v>
      </c>
      <c r="F112" s="18">
        <v>8</v>
      </c>
    </row>
    <row r="113" spans="1:6" hidden="1">
      <c r="A113" s="30">
        <v>43941</v>
      </c>
      <c r="B113" s="29">
        <v>116.67</v>
      </c>
      <c r="C113" s="18" t="s">
        <v>100</v>
      </c>
      <c r="D113" s="18" t="s">
        <v>101</v>
      </c>
      <c r="E113" s="18" t="s">
        <v>12</v>
      </c>
      <c r="F113" s="18">
        <v>6</v>
      </c>
    </row>
    <row r="114" spans="1:6" hidden="1">
      <c r="A114" s="30">
        <v>43941</v>
      </c>
      <c r="B114" s="29">
        <v>9.99</v>
      </c>
      <c r="C114" s="18" t="s">
        <v>100</v>
      </c>
      <c r="D114" s="18" t="s">
        <v>99</v>
      </c>
      <c r="E114" s="18" t="s">
        <v>12</v>
      </c>
      <c r="F114" s="18">
        <v>6</v>
      </c>
    </row>
    <row r="115" spans="1:6" hidden="1">
      <c r="A115" s="30">
        <v>43946</v>
      </c>
      <c r="B115" s="29">
        <v>115.55</v>
      </c>
      <c r="C115" s="18" t="s">
        <v>89</v>
      </c>
      <c r="D115" s="18" t="s">
        <v>90</v>
      </c>
      <c r="E115" s="18" t="s">
        <v>12</v>
      </c>
      <c r="F115" s="18">
        <v>8</v>
      </c>
    </row>
    <row r="116" spans="1:6" hidden="1">
      <c r="A116" s="30">
        <v>43946</v>
      </c>
      <c r="B116" s="29">
        <v>39.5</v>
      </c>
      <c r="C116" s="18" t="s">
        <v>89</v>
      </c>
      <c r="D116" s="18" t="s">
        <v>87</v>
      </c>
      <c r="E116" s="18" t="s">
        <v>12</v>
      </c>
      <c r="F116" s="18">
        <v>6</v>
      </c>
    </row>
    <row r="117" spans="1:6" hidden="1">
      <c r="A117" s="30">
        <v>43946</v>
      </c>
      <c r="B117" s="29">
        <v>14.12</v>
      </c>
      <c r="C117" s="18" t="s">
        <v>91</v>
      </c>
      <c r="D117" s="18" t="s">
        <v>90</v>
      </c>
      <c r="E117" s="18" t="s">
        <v>12</v>
      </c>
      <c r="F117" s="18">
        <v>7</v>
      </c>
    </row>
    <row r="118" spans="1:6" hidden="1">
      <c r="A118" s="30">
        <v>43946</v>
      </c>
      <c r="B118" s="29">
        <v>54.81</v>
      </c>
      <c r="C118" s="18" t="s">
        <v>91</v>
      </c>
      <c r="D118" s="18" t="s">
        <v>90</v>
      </c>
      <c r="E118" s="18" t="s">
        <v>12</v>
      </c>
      <c r="F118" s="18">
        <v>7</v>
      </c>
    </row>
    <row r="119" spans="1:6" hidden="1">
      <c r="A119" s="30">
        <v>43946</v>
      </c>
      <c r="B119" s="29">
        <v>56.2</v>
      </c>
      <c r="C119" s="18" t="s">
        <v>91</v>
      </c>
      <c r="D119" s="18" t="s">
        <v>87</v>
      </c>
      <c r="E119" s="18" t="s">
        <v>12</v>
      </c>
      <c r="F119" s="18">
        <v>6</v>
      </c>
    </row>
    <row r="120" spans="1:6" hidden="1">
      <c r="A120" s="30">
        <v>43961</v>
      </c>
      <c r="B120" s="29">
        <v>67.790000000000006</v>
      </c>
      <c r="C120" s="18" t="s">
        <v>94</v>
      </c>
      <c r="D120" s="18" t="s">
        <v>95</v>
      </c>
      <c r="E120" s="18" t="s">
        <v>12</v>
      </c>
      <c r="F120" s="18">
        <v>8</v>
      </c>
    </row>
    <row r="121" spans="1:6" hidden="1">
      <c r="A121" s="30">
        <v>43961</v>
      </c>
      <c r="B121" s="29">
        <v>11.47</v>
      </c>
      <c r="C121" s="18" t="s">
        <v>94</v>
      </c>
      <c r="D121" s="18" t="s">
        <v>97</v>
      </c>
      <c r="E121" s="18" t="s">
        <v>12</v>
      </c>
      <c r="F121" s="18">
        <v>9</v>
      </c>
    </row>
    <row r="122" spans="1:6" hidden="1">
      <c r="A122" s="30">
        <v>43971</v>
      </c>
      <c r="B122" s="29">
        <v>14.9</v>
      </c>
      <c r="C122" s="18" t="s">
        <v>83</v>
      </c>
      <c r="D122" s="18" t="s">
        <v>85</v>
      </c>
      <c r="E122" s="18" t="s">
        <v>12</v>
      </c>
      <c r="F122" s="18">
        <v>9</v>
      </c>
    </row>
    <row r="123" spans="1:6" hidden="1">
      <c r="A123" s="30">
        <v>43971</v>
      </c>
      <c r="B123" s="29">
        <v>116.67</v>
      </c>
      <c r="C123" s="18" t="s">
        <v>100</v>
      </c>
      <c r="D123" s="18" t="s">
        <v>101</v>
      </c>
      <c r="E123" s="18" t="s">
        <v>12</v>
      </c>
      <c r="F123" s="18">
        <v>7</v>
      </c>
    </row>
    <row r="124" spans="1:6" hidden="1">
      <c r="A124" s="30">
        <v>43971</v>
      </c>
      <c r="B124" s="29">
        <v>9.99</v>
      </c>
      <c r="C124" s="18" t="s">
        <v>100</v>
      </c>
      <c r="D124" s="18" t="s">
        <v>99</v>
      </c>
      <c r="E124" s="18" t="s">
        <v>12</v>
      </c>
      <c r="F124" s="18">
        <v>7</v>
      </c>
    </row>
    <row r="125" spans="1:6" hidden="1">
      <c r="A125" s="30">
        <v>43976</v>
      </c>
      <c r="B125" s="29">
        <v>14.12</v>
      </c>
      <c r="C125" s="18" t="s">
        <v>91</v>
      </c>
      <c r="D125" s="18" t="s">
        <v>90</v>
      </c>
      <c r="E125" s="18" t="s">
        <v>12</v>
      </c>
      <c r="F125" s="18">
        <v>8</v>
      </c>
    </row>
    <row r="126" spans="1:6" hidden="1">
      <c r="A126" s="30">
        <v>43976</v>
      </c>
      <c r="B126" s="29">
        <v>54.81</v>
      </c>
      <c r="C126" s="18" t="s">
        <v>91</v>
      </c>
      <c r="D126" s="18" t="s">
        <v>90</v>
      </c>
      <c r="E126" s="18" t="s">
        <v>12</v>
      </c>
      <c r="F126" s="18">
        <v>8</v>
      </c>
    </row>
    <row r="127" spans="1:6" hidden="1">
      <c r="A127" s="30">
        <v>43992</v>
      </c>
      <c r="B127" s="29">
        <v>67.790000000000006</v>
      </c>
      <c r="C127" s="18" t="s">
        <v>94</v>
      </c>
      <c r="D127" s="18" t="s">
        <v>95</v>
      </c>
      <c r="E127" s="18" t="s">
        <v>12</v>
      </c>
      <c r="F127" s="18">
        <v>9</v>
      </c>
    </row>
    <row r="128" spans="1:6" hidden="1">
      <c r="A128" s="30">
        <v>43992</v>
      </c>
      <c r="B128" s="29">
        <v>11.47</v>
      </c>
      <c r="C128" s="18" t="s">
        <v>94</v>
      </c>
      <c r="D128" s="18" t="s">
        <v>97</v>
      </c>
      <c r="E128" s="18" t="s">
        <v>12</v>
      </c>
      <c r="F128" s="18">
        <v>10</v>
      </c>
    </row>
    <row r="129" spans="1:6" hidden="1">
      <c r="A129" s="30">
        <v>44002</v>
      </c>
      <c r="B129" s="29">
        <v>14.9</v>
      </c>
      <c r="C129" s="18" t="s">
        <v>83</v>
      </c>
      <c r="D129" s="18" t="s">
        <v>85</v>
      </c>
      <c r="E129" s="18" t="s">
        <v>12</v>
      </c>
      <c r="F129" s="18">
        <v>10</v>
      </c>
    </row>
    <row r="130" spans="1:6" hidden="1">
      <c r="A130" s="30">
        <v>44002</v>
      </c>
      <c r="B130" s="29">
        <v>116.67</v>
      </c>
      <c r="C130" s="18" t="s">
        <v>100</v>
      </c>
      <c r="D130" s="18" t="s">
        <v>101</v>
      </c>
      <c r="E130" s="18" t="s">
        <v>12</v>
      </c>
      <c r="F130" s="18">
        <v>8</v>
      </c>
    </row>
    <row r="131" spans="1:6" hidden="1">
      <c r="A131" s="30">
        <v>44002</v>
      </c>
      <c r="B131" s="29">
        <v>9.99</v>
      </c>
      <c r="C131" s="18" t="s">
        <v>100</v>
      </c>
      <c r="D131" s="18" t="s">
        <v>99</v>
      </c>
      <c r="E131" s="18" t="s">
        <v>12</v>
      </c>
      <c r="F131" s="18">
        <v>8</v>
      </c>
    </row>
    <row r="132" spans="1:6" hidden="1">
      <c r="A132" s="30">
        <v>44007</v>
      </c>
      <c r="B132" s="29">
        <v>14.12</v>
      </c>
      <c r="C132" s="18" t="s">
        <v>91</v>
      </c>
      <c r="D132" s="18" t="s">
        <v>90</v>
      </c>
      <c r="E132" s="18" t="s">
        <v>12</v>
      </c>
      <c r="F132" s="18">
        <v>9</v>
      </c>
    </row>
    <row r="133" spans="1:6" hidden="1">
      <c r="A133" s="30">
        <v>44007</v>
      </c>
      <c r="B133" s="29">
        <v>54.81</v>
      </c>
      <c r="C133" s="18" t="s">
        <v>91</v>
      </c>
      <c r="D133" s="18" t="s">
        <v>90</v>
      </c>
      <c r="E133" s="18" t="s">
        <v>12</v>
      </c>
      <c r="F133" s="18">
        <v>9</v>
      </c>
    </row>
    <row r="134" spans="1:6" hidden="1">
      <c r="A134" s="30">
        <v>44022</v>
      </c>
      <c r="B134" s="29">
        <v>67.790000000000006</v>
      </c>
      <c r="C134" s="18" t="s">
        <v>94</v>
      </c>
      <c r="D134" s="18" t="s">
        <v>95</v>
      </c>
      <c r="E134" s="18" t="s">
        <v>12</v>
      </c>
      <c r="F134" s="18">
        <v>10</v>
      </c>
    </row>
    <row r="135" spans="1:6" hidden="1">
      <c r="A135" s="30">
        <v>44022</v>
      </c>
      <c r="B135" s="29">
        <v>11.47</v>
      </c>
      <c r="C135" s="18" t="s">
        <v>94</v>
      </c>
      <c r="D135" s="18" t="s">
        <v>97</v>
      </c>
      <c r="E135" s="18" t="s">
        <v>12</v>
      </c>
      <c r="F135" s="18">
        <v>11</v>
      </c>
    </row>
    <row r="136" spans="1:6" hidden="1">
      <c r="A136" s="30">
        <v>44032</v>
      </c>
      <c r="B136" s="29">
        <v>116.67</v>
      </c>
      <c r="C136" s="18" t="s">
        <v>100</v>
      </c>
      <c r="D136" s="18" t="s">
        <v>101</v>
      </c>
      <c r="E136" s="18" t="s">
        <v>12</v>
      </c>
      <c r="F136" s="18">
        <v>9</v>
      </c>
    </row>
    <row r="137" spans="1:6" hidden="1">
      <c r="A137" s="30">
        <v>44032</v>
      </c>
      <c r="B137" s="29">
        <v>9.99</v>
      </c>
      <c r="C137" s="18" t="s">
        <v>100</v>
      </c>
      <c r="D137" s="18" t="s">
        <v>99</v>
      </c>
      <c r="E137" s="18" t="s">
        <v>12</v>
      </c>
      <c r="F137" s="18">
        <v>9</v>
      </c>
    </row>
    <row r="138" spans="1:6" hidden="1">
      <c r="A138" s="30">
        <v>44037</v>
      </c>
      <c r="B138" s="29">
        <v>14.12</v>
      </c>
      <c r="C138" s="18" t="s">
        <v>91</v>
      </c>
      <c r="D138" s="18" t="s">
        <v>90</v>
      </c>
      <c r="E138" s="18" t="s">
        <v>12</v>
      </c>
      <c r="F138" s="18">
        <v>10</v>
      </c>
    </row>
    <row r="139" spans="1:6" hidden="1">
      <c r="A139" s="30">
        <v>44037</v>
      </c>
      <c r="B139" s="29">
        <v>54.81</v>
      </c>
      <c r="C139" s="18" t="s">
        <v>91</v>
      </c>
      <c r="D139" s="18" t="s">
        <v>90</v>
      </c>
      <c r="E139" s="18" t="s">
        <v>12</v>
      </c>
      <c r="F139" s="18">
        <v>10</v>
      </c>
    </row>
    <row r="140" spans="1:6" hidden="1">
      <c r="A140" s="30">
        <v>44053</v>
      </c>
      <c r="B140" s="29">
        <v>67.790000000000006</v>
      </c>
      <c r="C140" s="18" t="s">
        <v>94</v>
      </c>
      <c r="D140" s="18" t="s">
        <v>95</v>
      </c>
      <c r="E140" s="18" t="s">
        <v>12</v>
      </c>
      <c r="F140" s="18">
        <v>11</v>
      </c>
    </row>
    <row r="141" spans="1:6" hidden="1">
      <c r="A141" s="30">
        <v>44063</v>
      </c>
      <c r="B141" s="29">
        <v>116.67</v>
      </c>
      <c r="C141" s="18" t="s">
        <v>100</v>
      </c>
      <c r="D141" s="18" t="s">
        <v>101</v>
      </c>
      <c r="E141" s="18" t="s">
        <v>12</v>
      </c>
      <c r="F141" s="18">
        <v>10</v>
      </c>
    </row>
    <row r="142" spans="1:6" hidden="1">
      <c r="A142" s="30">
        <v>44063</v>
      </c>
      <c r="B142" s="29">
        <v>9.99</v>
      </c>
      <c r="C142" s="18" t="s">
        <v>100</v>
      </c>
      <c r="D142" s="18" t="s">
        <v>99</v>
      </c>
      <c r="E142" s="18" t="s">
        <v>12</v>
      </c>
      <c r="F142" s="18">
        <v>10</v>
      </c>
    </row>
    <row r="143" spans="1:6" hidden="1">
      <c r="A143" s="30">
        <v>44068</v>
      </c>
      <c r="B143" s="29">
        <v>14.12</v>
      </c>
      <c r="C143" s="18" t="s">
        <v>91</v>
      </c>
      <c r="D143" s="18" t="s">
        <v>90</v>
      </c>
      <c r="E143" s="18" t="s">
        <v>12</v>
      </c>
      <c r="F143" s="18">
        <v>11</v>
      </c>
    </row>
    <row r="144" spans="1:6" hidden="1">
      <c r="A144" s="30">
        <v>44068</v>
      </c>
      <c r="B144" s="29">
        <v>54.81</v>
      </c>
      <c r="C144" s="18" t="s">
        <v>91</v>
      </c>
      <c r="D144" s="18" t="s">
        <v>90</v>
      </c>
      <c r="E144" s="18" t="s">
        <v>12</v>
      </c>
      <c r="F144" s="18">
        <v>11</v>
      </c>
    </row>
    <row r="145" spans="1:6" hidden="1">
      <c r="A145" s="30">
        <v>44084</v>
      </c>
      <c r="B145" s="29">
        <v>67.790000000000006</v>
      </c>
      <c r="C145" s="18" t="s">
        <v>94</v>
      </c>
      <c r="D145" s="18" t="s">
        <v>95</v>
      </c>
      <c r="E145" s="18" t="s">
        <v>12</v>
      </c>
      <c r="F145" s="18">
        <v>12</v>
      </c>
    </row>
    <row r="146" spans="1:6" hidden="1">
      <c r="A146" s="30">
        <v>44094</v>
      </c>
      <c r="B146" s="29">
        <v>116.67</v>
      </c>
      <c r="C146" s="18" t="s">
        <v>100</v>
      </c>
      <c r="D146" s="18" t="s">
        <v>101</v>
      </c>
      <c r="E146" s="18" t="s">
        <v>12</v>
      </c>
      <c r="F146" s="18">
        <v>11</v>
      </c>
    </row>
    <row r="147" spans="1:6" hidden="1">
      <c r="A147" s="30">
        <v>44094</v>
      </c>
      <c r="B147" s="29">
        <v>9.99</v>
      </c>
      <c r="C147" s="18" t="s">
        <v>100</v>
      </c>
      <c r="D147" s="18" t="s">
        <v>99</v>
      </c>
      <c r="E147" s="18" t="s">
        <v>12</v>
      </c>
      <c r="F147" s="18">
        <v>11</v>
      </c>
    </row>
    <row r="148" spans="1:6" hidden="1">
      <c r="A148" s="30">
        <v>44099</v>
      </c>
      <c r="B148" s="29">
        <v>14.12</v>
      </c>
      <c r="C148" s="18" t="s">
        <v>91</v>
      </c>
      <c r="D148" s="18" t="s">
        <v>90</v>
      </c>
      <c r="E148" s="18" t="s">
        <v>12</v>
      </c>
      <c r="F148" s="18">
        <v>12</v>
      </c>
    </row>
    <row r="149" spans="1:6" hidden="1">
      <c r="A149" s="30">
        <v>44124</v>
      </c>
      <c r="B149" s="29">
        <v>116.67</v>
      </c>
      <c r="C149" s="18" t="s">
        <v>100</v>
      </c>
      <c r="D149" s="18" t="s">
        <v>101</v>
      </c>
      <c r="E149" s="18" t="s">
        <v>12</v>
      </c>
      <c r="F149" s="18">
        <v>12</v>
      </c>
    </row>
    <row r="150" spans="1:6" hidden="1">
      <c r="A150" s="30">
        <v>44124</v>
      </c>
      <c r="B150" s="29">
        <v>9.99</v>
      </c>
      <c r="C150" s="18" t="s">
        <v>100</v>
      </c>
      <c r="D150" s="18" t="s">
        <v>99</v>
      </c>
      <c r="E150" s="18" t="s">
        <v>12</v>
      </c>
      <c r="F150" s="18">
        <v>12</v>
      </c>
    </row>
    <row r="151" spans="1:6" hidden="1">
      <c r="A151" s="30">
        <v>44155</v>
      </c>
      <c r="B151" s="29">
        <v>116.67</v>
      </c>
      <c r="C151" s="18" t="s">
        <v>100</v>
      </c>
      <c r="D151" s="18" t="s">
        <v>101</v>
      </c>
      <c r="E151" s="18" t="s">
        <v>12</v>
      </c>
      <c r="F151" s="18">
        <v>13</v>
      </c>
    </row>
    <row r="152" spans="1:6" hidden="1">
      <c r="A152" s="30">
        <v>44185</v>
      </c>
      <c r="B152" s="29">
        <v>116.67</v>
      </c>
      <c r="C152" s="18" t="s">
        <v>100</v>
      </c>
      <c r="D152" s="18" t="s">
        <v>101</v>
      </c>
      <c r="E152" s="18" t="s">
        <v>12</v>
      </c>
      <c r="F152" s="18">
        <v>14</v>
      </c>
    </row>
    <row r="153" spans="1:6" hidden="1">
      <c r="A153" s="30">
        <v>44216</v>
      </c>
      <c r="B153" s="29">
        <v>116.67</v>
      </c>
      <c r="C153" s="18" t="s">
        <v>100</v>
      </c>
      <c r="D153" s="18" t="s">
        <v>101</v>
      </c>
      <c r="E153" s="18" t="s">
        <v>12</v>
      </c>
      <c r="F153" s="18">
        <v>15</v>
      </c>
    </row>
    <row r="154" spans="1:6" hidden="1">
      <c r="A154" s="30">
        <v>44247</v>
      </c>
      <c r="B154" s="29">
        <v>116.67</v>
      </c>
      <c r="C154" s="18" t="s">
        <v>100</v>
      </c>
      <c r="D154" s="18" t="s">
        <v>101</v>
      </c>
      <c r="E154" s="18" t="s">
        <v>12</v>
      </c>
      <c r="F154" s="18">
        <v>16</v>
      </c>
    </row>
    <row r="155" spans="1:6" hidden="1">
      <c r="A155" s="30">
        <v>44275</v>
      </c>
      <c r="B155" s="29">
        <v>116.67</v>
      </c>
      <c r="C155" s="18" t="s">
        <v>100</v>
      </c>
      <c r="D155" s="18" t="s">
        <v>101</v>
      </c>
      <c r="E155" s="18" t="s">
        <v>12</v>
      </c>
      <c r="F155" s="18">
        <v>17</v>
      </c>
    </row>
    <row r="156" spans="1:6" hidden="1">
      <c r="A156" s="30">
        <v>44306</v>
      </c>
      <c r="B156" s="29">
        <v>116.67</v>
      </c>
      <c r="C156" s="18" t="s">
        <v>100</v>
      </c>
      <c r="D156" s="18" t="s">
        <v>101</v>
      </c>
      <c r="E156" s="18" t="s">
        <v>12</v>
      </c>
      <c r="F156" s="18">
        <v>18</v>
      </c>
    </row>
    <row r="157" spans="1:6" hidden="1">
      <c r="A157" s="30">
        <v>43779</v>
      </c>
      <c r="B157" s="29">
        <v>94.9</v>
      </c>
      <c r="C157" s="18" t="s">
        <v>94</v>
      </c>
      <c r="D157" s="18" t="s">
        <v>103</v>
      </c>
      <c r="E157" s="18" t="s">
        <v>12</v>
      </c>
      <c r="F157" s="18">
        <v>1</v>
      </c>
    </row>
    <row r="158" spans="1:6">
      <c r="A158" s="30">
        <v>43809</v>
      </c>
      <c r="B158" s="29">
        <v>94.9</v>
      </c>
      <c r="C158" s="18" t="s">
        <v>94</v>
      </c>
      <c r="D158" s="18" t="s">
        <v>103</v>
      </c>
      <c r="E158" s="18" t="s">
        <v>12</v>
      </c>
      <c r="F158" s="18">
        <v>2</v>
      </c>
    </row>
    <row r="159" spans="1:6" hidden="1">
      <c r="A159" s="30">
        <v>43840</v>
      </c>
      <c r="B159" s="29">
        <v>94.9</v>
      </c>
      <c r="C159" s="18" t="s">
        <v>94</v>
      </c>
      <c r="D159" s="18" t="s">
        <v>103</v>
      </c>
      <c r="E159" s="18" t="s">
        <v>12</v>
      </c>
      <c r="F159" s="18">
        <v>3</v>
      </c>
    </row>
    <row r="160" spans="1:6" hidden="1">
      <c r="A160" s="30">
        <v>43871</v>
      </c>
      <c r="B160" s="29">
        <v>94.9</v>
      </c>
      <c r="C160" s="18" t="s">
        <v>94</v>
      </c>
      <c r="D160" s="18" t="s">
        <v>103</v>
      </c>
      <c r="E160" s="18" t="s">
        <v>12</v>
      </c>
      <c r="F160" s="18">
        <v>4</v>
      </c>
    </row>
    <row r="161" spans="1:6" hidden="1">
      <c r="A161" s="30">
        <v>43900</v>
      </c>
      <c r="B161" s="29">
        <v>94.9</v>
      </c>
      <c r="C161" s="18" t="s">
        <v>94</v>
      </c>
      <c r="D161" s="18" t="s">
        <v>103</v>
      </c>
      <c r="E161" s="18" t="s">
        <v>12</v>
      </c>
      <c r="F161" s="18">
        <v>5</v>
      </c>
    </row>
    <row r="162" spans="1:6" hidden="1">
      <c r="A162" s="30">
        <v>43931</v>
      </c>
      <c r="B162" s="29">
        <v>94.9</v>
      </c>
      <c r="C162" s="18" t="s">
        <v>94</v>
      </c>
      <c r="D162" s="18" t="s">
        <v>103</v>
      </c>
      <c r="E162" s="18" t="s">
        <v>12</v>
      </c>
      <c r="F162" s="18">
        <v>6</v>
      </c>
    </row>
    <row r="163" spans="1:6" hidden="1">
      <c r="A163" s="30">
        <v>43961</v>
      </c>
      <c r="B163" s="29">
        <v>94.9</v>
      </c>
      <c r="C163" s="18" t="s">
        <v>94</v>
      </c>
      <c r="D163" s="18" t="s">
        <v>103</v>
      </c>
      <c r="E163" s="18" t="s">
        <v>12</v>
      </c>
      <c r="F163" s="18">
        <v>7</v>
      </c>
    </row>
    <row r="164" spans="1:6" hidden="1">
      <c r="A164" s="30">
        <v>43992</v>
      </c>
      <c r="B164" s="29">
        <v>94.9</v>
      </c>
      <c r="C164" s="18" t="s">
        <v>94</v>
      </c>
      <c r="D164" s="18" t="s">
        <v>103</v>
      </c>
      <c r="E164" s="18" t="s">
        <v>12</v>
      </c>
      <c r="F164" s="18">
        <v>8</v>
      </c>
    </row>
    <row r="165" spans="1:6" hidden="1">
      <c r="A165" s="30">
        <v>44022</v>
      </c>
      <c r="B165" s="29">
        <v>94.9</v>
      </c>
      <c r="C165" s="18" t="s">
        <v>94</v>
      </c>
      <c r="D165" s="18" t="s">
        <v>103</v>
      </c>
      <c r="E165" s="18" t="s">
        <v>12</v>
      </c>
      <c r="F165" s="18">
        <v>9</v>
      </c>
    </row>
    <row r="166" spans="1:6" hidden="1">
      <c r="A166" s="30">
        <v>44053</v>
      </c>
      <c r="B166" s="29">
        <v>94.9</v>
      </c>
      <c r="C166" s="18" t="s">
        <v>94</v>
      </c>
      <c r="D166" s="18" t="s">
        <v>103</v>
      </c>
      <c r="E166" s="18" t="s">
        <v>12</v>
      </c>
      <c r="F166" s="18">
        <v>10</v>
      </c>
    </row>
    <row r="167" spans="1:6">
      <c r="B167" s="13">
        <f>SUBTOTAL(109,Tabela5[Vlr_Parcela])</f>
        <v>1208.67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alario">
    <tabColor theme="8" tint="-0.499984740745262"/>
  </sheetPr>
  <dimension ref="A1:J76"/>
  <sheetViews>
    <sheetView showGridLines="0" topLeftCell="A58" zoomScaleNormal="100" workbookViewId="0">
      <selection activeCell="D76" sqref="D76"/>
    </sheetView>
  </sheetViews>
  <sheetFormatPr defaultRowHeight="15"/>
  <cols>
    <col min="1" max="1" width="10.7109375" bestFit="1" customWidth="1"/>
    <col min="2" max="2" width="17" bestFit="1" customWidth="1"/>
    <col min="3" max="3" width="15.7109375" bestFit="1" customWidth="1"/>
    <col min="4" max="4" width="37" bestFit="1" customWidth="1"/>
    <col min="5" max="5" width="26.42578125" bestFit="1" customWidth="1"/>
    <col min="6" max="6" width="11.42578125" bestFit="1" customWidth="1"/>
    <col min="7" max="7" width="20.140625" bestFit="1" customWidth="1"/>
    <col min="8" max="8" width="12.28515625" bestFit="1" customWidth="1"/>
    <col min="9" max="9" width="10.7109375" bestFit="1" customWidth="1"/>
    <col min="10" max="10" width="10.5703125" bestFit="1" customWidth="1"/>
    <col min="11" max="11" width="12.140625" bestFit="1" customWidth="1"/>
    <col min="12" max="12" width="10.5703125" bestFit="1" customWidth="1"/>
  </cols>
  <sheetData>
    <row r="1" spans="1:7" ht="15.75" thickBot="1">
      <c r="A1" s="22" t="s">
        <v>21</v>
      </c>
      <c r="B1" s="22" t="s">
        <v>22</v>
      </c>
      <c r="C1" s="23" t="s">
        <v>29</v>
      </c>
      <c r="D1" s="23" t="s">
        <v>48</v>
      </c>
      <c r="E1" s="23" t="s">
        <v>1</v>
      </c>
      <c r="F1" s="23" t="s">
        <v>45</v>
      </c>
      <c r="G1" s="23" t="s">
        <v>56</v>
      </c>
    </row>
    <row r="2" spans="1:7">
      <c r="A2" s="24">
        <v>42855</v>
      </c>
      <c r="B2" s="25">
        <v>1063.3599999999999</v>
      </c>
      <c r="C2" s="26" t="s">
        <v>27</v>
      </c>
      <c r="D2" s="26" t="s">
        <v>49</v>
      </c>
      <c r="E2" s="26" t="s">
        <v>30</v>
      </c>
      <c r="F2" s="26" t="s">
        <v>47</v>
      </c>
      <c r="G2" s="26" t="s">
        <v>57</v>
      </c>
    </row>
    <row r="3" spans="1:7">
      <c r="A3" s="24">
        <v>42860</v>
      </c>
      <c r="B3" s="25">
        <v>1199.9999999999998</v>
      </c>
      <c r="C3" s="26" t="s">
        <v>31</v>
      </c>
      <c r="D3" s="26" t="s">
        <v>50</v>
      </c>
      <c r="E3" s="26" t="s">
        <v>30</v>
      </c>
      <c r="F3" s="26" t="s">
        <v>46</v>
      </c>
      <c r="G3" s="26" t="s">
        <v>57</v>
      </c>
    </row>
    <row r="4" spans="1:7">
      <c r="A4" s="24">
        <v>42885</v>
      </c>
      <c r="B4" s="25">
        <v>1063.3599999999999</v>
      </c>
      <c r="C4" s="26" t="s">
        <v>27</v>
      </c>
      <c r="D4" s="26" t="s">
        <v>49</v>
      </c>
      <c r="E4" s="26" t="s">
        <v>30</v>
      </c>
      <c r="F4" s="26" t="s">
        <v>47</v>
      </c>
      <c r="G4" s="26" t="s">
        <v>57</v>
      </c>
    </row>
    <row r="5" spans="1:7">
      <c r="A5" s="24">
        <v>42891</v>
      </c>
      <c r="B5" s="25">
        <v>1199.9999999999998</v>
      </c>
      <c r="C5" s="26" t="s">
        <v>31</v>
      </c>
      <c r="D5" s="26" t="s">
        <v>50</v>
      </c>
      <c r="E5" s="26" t="s">
        <v>30</v>
      </c>
      <c r="F5" s="26" t="s">
        <v>46</v>
      </c>
      <c r="G5" s="26" t="s">
        <v>57</v>
      </c>
    </row>
    <row r="6" spans="1:7">
      <c r="A6" s="24">
        <v>42916</v>
      </c>
      <c r="B6" s="25">
        <v>1063.3599999999999</v>
      </c>
      <c r="C6" s="26" t="s">
        <v>27</v>
      </c>
      <c r="D6" s="26" t="s">
        <v>49</v>
      </c>
      <c r="E6" s="26" t="s">
        <v>30</v>
      </c>
      <c r="F6" s="26" t="s">
        <v>47</v>
      </c>
      <c r="G6" s="26" t="s">
        <v>57</v>
      </c>
    </row>
    <row r="7" spans="1:7">
      <c r="A7" s="24">
        <v>42931</v>
      </c>
      <c r="B7" s="25">
        <v>672.92250000000013</v>
      </c>
      <c r="C7" s="26" t="s">
        <v>62</v>
      </c>
      <c r="D7" s="26" t="s">
        <v>51</v>
      </c>
      <c r="E7" s="26" t="s">
        <v>33</v>
      </c>
      <c r="F7" s="26" t="s">
        <v>46</v>
      </c>
      <c r="G7" s="26" t="s">
        <v>59</v>
      </c>
    </row>
    <row r="8" spans="1:7">
      <c r="A8" s="24">
        <v>42946</v>
      </c>
      <c r="B8" s="25">
        <v>682.62</v>
      </c>
      <c r="C8" s="26" t="s">
        <v>62</v>
      </c>
      <c r="D8" s="26" t="s">
        <v>54</v>
      </c>
      <c r="E8" s="26" t="s">
        <v>33</v>
      </c>
      <c r="F8" s="26" t="s">
        <v>46</v>
      </c>
      <c r="G8" s="26" t="s">
        <v>59</v>
      </c>
    </row>
    <row r="9" spans="1:7">
      <c r="A9" s="24">
        <v>42946</v>
      </c>
      <c r="B9" s="25">
        <v>1063.3599999999999</v>
      </c>
      <c r="C9" s="26" t="s">
        <v>27</v>
      </c>
      <c r="D9" s="26" t="s">
        <v>49</v>
      </c>
      <c r="E9" s="26" t="s">
        <v>30</v>
      </c>
      <c r="F9" s="26" t="s">
        <v>47</v>
      </c>
      <c r="G9" s="26" t="s">
        <v>57</v>
      </c>
    </row>
    <row r="10" spans="1:7">
      <c r="A10" s="24">
        <v>42962</v>
      </c>
      <c r="B10" s="25">
        <v>837.86999999999989</v>
      </c>
      <c r="C10" s="26" t="s">
        <v>62</v>
      </c>
      <c r="D10" s="26" t="s">
        <v>51</v>
      </c>
      <c r="E10" s="26" t="s">
        <v>33</v>
      </c>
      <c r="F10" s="26" t="s">
        <v>46</v>
      </c>
      <c r="G10" s="26" t="s">
        <v>59</v>
      </c>
    </row>
    <row r="11" spans="1:7">
      <c r="A11" s="24">
        <v>42977</v>
      </c>
      <c r="B11" s="25">
        <v>1063.3599999999999</v>
      </c>
      <c r="C11" s="26" t="s">
        <v>27</v>
      </c>
      <c r="D11" s="26" t="s">
        <v>49</v>
      </c>
      <c r="E11" s="26" t="s">
        <v>30</v>
      </c>
      <c r="F11" s="26" t="s">
        <v>47</v>
      </c>
      <c r="G11" s="26" t="s">
        <v>57</v>
      </c>
    </row>
    <row r="12" spans="1:7">
      <c r="A12" s="24">
        <v>43008</v>
      </c>
      <c r="B12" s="25">
        <v>514.19499999999994</v>
      </c>
      <c r="C12" s="26" t="s">
        <v>62</v>
      </c>
      <c r="D12" s="26" t="s">
        <v>51</v>
      </c>
      <c r="E12" s="26" t="s">
        <v>33</v>
      </c>
      <c r="F12" s="26" t="s">
        <v>46</v>
      </c>
      <c r="G12" s="26" t="s">
        <v>59</v>
      </c>
    </row>
    <row r="13" spans="1:7">
      <c r="A13" s="24">
        <v>43008</v>
      </c>
      <c r="B13" s="25">
        <v>1063.3599999999999</v>
      </c>
      <c r="C13" s="26" t="s">
        <v>27</v>
      </c>
      <c r="D13" s="26" t="s">
        <v>49</v>
      </c>
      <c r="E13" s="26" t="s">
        <v>30</v>
      </c>
      <c r="F13" s="26" t="s">
        <v>47</v>
      </c>
      <c r="G13" s="26" t="s">
        <v>57</v>
      </c>
    </row>
    <row r="14" spans="1:7">
      <c r="A14" s="24">
        <v>43038</v>
      </c>
      <c r="B14" s="25">
        <v>280.34999999999991</v>
      </c>
      <c r="C14" s="26" t="s">
        <v>62</v>
      </c>
      <c r="D14" s="26" t="s">
        <v>51</v>
      </c>
      <c r="E14" s="26" t="s">
        <v>33</v>
      </c>
      <c r="F14" s="26" t="s">
        <v>46</v>
      </c>
      <c r="G14" s="26" t="s">
        <v>59</v>
      </c>
    </row>
    <row r="15" spans="1:7">
      <c r="A15" s="24">
        <v>43038</v>
      </c>
      <c r="B15" s="25">
        <v>1063.3599999999999</v>
      </c>
      <c r="C15" s="26" t="s">
        <v>27</v>
      </c>
      <c r="D15" s="26" t="s">
        <v>49</v>
      </c>
      <c r="E15" s="26" t="s">
        <v>30</v>
      </c>
      <c r="F15" s="26" t="s">
        <v>47</v>
      </c>
      <c r="G15" s="26" t="s">
        <v>57</v>
      </c>
    </row>
    <row r="16" spans="1:7">
      <c r="A16" s="24">
        <v>43069</v>
      </c>
      <c r="B16" s="25">
        <v>307.875</v>
      </c>
      <c r="C16" s="26" t="s">
        <v>62</v>
      </c>
      <c r="D16" s="26" t="s">
        <v>51</v>
      </c>
      <c r="E16" s="26" t="s">
        <v>33</v>
      </c>
      <c r="F16" s="26" t="s">
        <v>46</v>
      </c>
      <c r="G16" s="26" t="s">
        <v>59</v>
      </c>
    </row>
    <row r="17" spans="1:7">
      <c r="A17" s="24">
        <v>43069</v>
      </c>
      <c r="B17" s="25">
        <v>1063.3599999999999</v>
      </c>
      <c r="C17" s="26" t="s">
        <v>27</v>
      </c>
      <c r="D17" s="26" t="s">
        <v>49</v>
      </c>
      <c r="E17" s="26" t="s">
        <v>30</v>
      </c>
      <c r="F17" s="26" t="s">
        <v>47</v>
      </c>
      <c r="G17" s="26" t="s">
        <v>57</v>
      </c>
    </row>
    <row r="18" spans="1:7">
      <c r="A18" s="24">
        <v>43099</v>
      </c>
      <c r="B18" s="25">
        <v>1429.64</v>
      </c>
      <c r="C18" s="26" t="s">
        <v>32</v>
      </c>
      <c r="D18" s="26" t="s">
        <v>51</v>
      </c>
      <c r="E18" s="26" t="s">
        <v>33</v>
      </c>
      <c r="F18" s="26" t="s">
        <v>46</v>
      </c>
      <c r="G18" s="26" t="s">
        <v>59</v>
      </c>
    </row>
    <row r="19" spans="1:7">
      <c r="A19" s="24">
        <v>43099</v>
      </c>
      <c r="B19" s="25">
        <v>1113.3599999999999</v>
      </c>
      <c r="C19" s="26" t="s">
        <v>27</v>
      </c>
      <c r="D19" s="26" t="s">
        <v>49</v>
      </c>
      <c r="E19" s="26" t="s">
        <v>30</v>
      </c>
      <c r="F19" s="26" t="s">
        <v>47</v>
      </c>
      <c r="G19" s="26" t="s">
        <v>57</v>
      </c>
    </row>
    <row r="20" spans="1:7">
      <c r="A20" s="24">
        <v>43130</v>
      </c>
      <c r="B20" s="25">
        <v>1118.8900000000001</v>
      </c>
      <c r="C20" s="26" t="s">
        <v>32</v>
      </c>
      <c r="D20" s="26" t="s">
        <v>51</v>
      </c>
      <c r="E20" s="26" t="s">
        <v>33</v>
      </c>
      <c r="F20" s="26" t="s">
        <v>46</v>
      </c>
      <c r="G20" s="26" t="s">
        <v>59</v>
      </c>
    </row>
    <row r="21" spans="1:7">
      <c r="A21" s="24">
        <v>43130</v>
      </c>
      <c r="B21" s="25">
        <v>1113.3599999999999</v>
      </c>
      <c r="C21" s="26" t="s">
        <v>27</v>
      </c>
      <c r="D21" s="26" t="s">
        <v>49</v>
      </c>
      <c r="E21" s="26" t="s">
        <v>30</v>
      </c>
      <c r="F21" s="26" t="s">
        <v>47</v>
      </c>
      <c r="G21" s="26" t="s">
        <v>57</v>
      </c>
    </row>
    <row r="22" spans="1:7">
      <c r="A22" s="24">
        <v>43159</v>
      </c>
      <c r="B22" s="25">
        <v>645.6099999999999</v>
      </c>
      <c r="C22" s="26" t="s">
        <v>32</v>
      </c>
      <c r="D22" s="26" t="s">
        <v>51</v>
      </c>
      <c r="E22" s="26" t="s">
        <v>33</v>
      </c>
      <c r="F22" s="26" t="s">
        <v>46</v>
      </c>
      <c r="G22" s="26" t="s">
        <v>59</v>
      </c>
    </row>
    <row r="23" spans="1:7">
      <c r="A23" s="24">
        <v>43159</v>
      </c>
      <c r="B23" s="25">
        <v>1113.3599999999999</v>
      </c>
      <c r="C23" s="26" t="s">
        <v>27</v>
      </c>
      <c r="D23" s="26" t="s">
        <v>49</v>
      </c>
      <c r="E23" s="26" t="s">
        <v>30</v>
      </c>
      <c r="F23" s="26" t="s">
        <v>47</v>
      </c>
      <c r="G23" s="26" t="s">
        <v>57</v>
      </c>
    </row>
    <row r="24" spans="1:7">
      <c r="A24" s="24">
        <v>43189</v>
      </c>
      <c r="B24" s="25">
        <v>853.99429999999984</v>
      </c>
      <c r="C24" s="26" t="s">
        <v>32</v>
      </c>
      <c r="D24" s="26" t="s">
        <v>51</v>
      </c>
      <c r="E24" s="26" t="s">
        <v>33</v>
      </c>
      <c r="F24" s="26" t="s">
        <v>46</v>
      </c>
      <c r="G24" s="26" t="s">
        <v>59</v>
      </c>
    </row>
    <row r="25" spans="1:7">
      <c r="A25" s="24">
        <v>43189</v>
      </c>
      <c r="B25" s="25">
        <v>1113.3599999999999</v>
      </c>
      <c r="C25" s="26" t="s">
        <v>27</v>
      </c>
      <c r="D25" s="26" t="s">
        <v>49</v>
      </c>
      <c r="E25" s="26" t="s">
        <v>30</v>
      </c>
      <c r="F25" s="26" t="s">
        <v>47</v>
      </c>
      <c r="G25" s="26" t="s">
        <v>57</v>
      </c>
    </row>
    <row r="26" spans="1:7">
      <c r="A26" s="24">
        <v>43198</v>
      </c>
      <c r="B26" s="25">
        <v>520</v>
      </c>
      <c r="C26" s="26" t="s">
        <v>28</v>
      </c>
      <c r="D26" s="26" t="s">
        <v>52</v>
      </c>
      <c r="E26" s="24" t="s">
        <v>38</v>
      </c>
      <c r="F26" s="26" t="s">
        <v>46</v>
      </c>
      <c r="G26" s="26" t="s">
        <v>58</v>
      </c>
    </row>
    <row r="27" spans="1:7">
      <c r="A27" s="24">
        <v>43220</v>
      </c>
      <c r="B27" s="25">
        <v>938.49854000000028</v>
      </c>
      <c r="C27" s="26" t="s">
        <v>32</v>
      </c>
      <c r="D27" s="26" t="s">
        <v>51</v>
      </c>
      <c r="E27" s="26" t="s">
        <v>33</v>
      </c>
      <c r="F27" s="26" t="s">
        <v>46</v>
      </c>
      <c r="G27" s="26" t="s">
        <v>59</v>
      </c>
    </row>
    <row r="28" spans="1:7">
      <c r="A28" s="24">
        <v>43220</v>
      </c>
      <c r="B28" s="25">
        <v>1113.3599999999999</v>
      </c>
      <c r="C28" s="26" t="s">
        <v>27</v>
      </c>
      <c r="D28" s="26" t="s">
        <v>49</v>
      </c>
      <c r="E28" s="26" t="s">
        <v>30</v>
      </c>
      <c r="F28" s="26" t="s">
        <v>47</v>
      </c>
      <c r="G28" s="26" t="s">
        <v>57</v>
      </c>
    </row>
    <row r="29" spans="1:7">
      <c r="A29" s="24">
        <v>43250</v>
      </c>
      <c r="B29" s="25">
        <v>979.03930000000014</v>
      </c>
      <c r="C29" s="26" t="s">
        <v>32</v>
      </c>
      <c r="D29" s="26" t="s">
        <v>51</v>
      </c>
      <c r="E29" s="26" t="s">
        <v>33</v>
      </c>
      <c r="F29" s="26" t="s">
        <v>46</v>
      </c>
      <c r="G29" s="26" t="s">
        <v>59</v>
      </c>
    </row>
    <row r="30" spans="1:7">
      <c r="A30" s="24">
        <v>43250</v>
      </c>
      <c r="B30" s="25">
        <v>1113.3599999999999</v>
      </c>
      <c r="C30" s="26" t="s">
        <v>27</v>
      </c>
      <c r="D30" s="26" t="s">
        <v>49</v>
      </c>
      <c r="E30" s="26" t="s">
        <v>30</v>
      </c>
      <c r="F30" s="26" t="s">
        <v>47</v>
      </c>
      <c r="G30" s="26" t="s">
        <v>57</v>
      </c>
    </row>
    <row r="31" spans="1:7">
      <c r="A31" s="24">
        <v>43281</v>
      </c>
      <c r="B31" s="25">
        <v>1063.3599999999999</v>
      </c>
      <c r="C31" s="26" t="s">
        <v>27</v>
      </c>
      <c r="D31" s="26" t="s">
        <v>49</v>
      </c>
      <c r="E31" s="26" t="s">
        <v>30</v>
      </c>
      <c r="F31" s="26" t="s">
        <v>47</v>
      </c>
      <c r="G31" s="26" t="s">
        <v>57</v>
      </c>
    </row>
    <row r="32" spans="1:7">
      <c r="A32" s="24">
        <v>43281</v>
      </c>
      <c r="B32" s="25">
        <v>1441.0335000000002</v>
      </c>
      <c r="C32" s="26" t="s">
        <v>32</v>
      </c>
      <c r="D32" s="26" t="s">
        <v>51</v>
      </c>
      <c r="E32" s="26" t="s">
        <v>33</v>
      </c>
      <c r="F32" s="26" t="s">
        <v>46</v>
      </c>
      <c r="G32" s="26" t="s">
        <v>59</v>
      </c>
    </row>
    <row r="33" spans="1:7">
      <c r="A33" s="24">
        <v>43281</v>
      </c>
      <c r="B33" s="25">
        <v>1113.3599999999999</v>
      </c>
      <c r="C33" s="26" t="s">
        <v>27</v>
      </c>
      <c r="D33" s="26" t="s">
        <v>49</v>
      </c>
      <c r="E33" s="26" t="s">
        <v>30</v>
      </c>
      <c r="F33" s="26" t="s">
        <v>47</v>
      </c>
      <c r="G33" s="26" t="s">
        <v>57</v>
      </c>
    </row>
    <row r="34" spans="1:7">
      <c r="A34" s="24">
        <v>43311</v>
      </c>
      <c r="B34" s="25">
        <v>1063.3599999999999</v>
      </c>
      <c r="C34" s="26" t="s">
        <v>27</v>
      </c>
      <c r="D34" s="26" t="s">
        <v>49</v>
      </c>
      <c r="E34" s="26" t="s">
        <v>30</v>
      </c>
      <c r="F34" s="26" t="s">
        <v>47</v>
      </c>
      <c r="G34" s="26" t="s">
        <v>57</v>
      </c>
    </row>
    <row r="35" spans="1:7">
      <c r="A35" s="24">
        <v>43311</v>
      </c>
      <c r="B35" s="25">
        <v>872.20669999999996</v>
      </c>
      <c r="C35" s="26" t="s">
        <v>32</v>
      </c>
      <c r="D35" s="26" t="s">
        <v>51</v>
      </c>
      <c r="E35" s="26" t="s">
        <v>33</v>
      </c>
      <c r="F35" s="26" t="s">
        <v>46</v>
      </c>
      <c r="G35" s="26" t="s">
        <v>59</v>
      </c>
    </row>
    <row r="36" spans="1:7">
      <c r="A36" s="24">
        <v>43311</v>
      </c>
      <c r="B36" s="25">
        <v>1113.3599999999999</v>
      </c>
      <c r="C36" s="26" t="s">
        <v>27</v>
      </c>
      <c r="D36" s="26" t="s">
        <v>49</v>
      </c>
      <c r="E36" s="26" t="s">
        <v>30</v>
      </c>
      <c r="F36" s="26" t="s">
        <v>47</v>
      </c>
      <c r="G36" s="26" t="s">
        <v>57</v>
      </c>
    </row>
    <row r="37" spans="1:7">
      <c r="A37" s="24">
        <v>43342</v>
      </c>
      <c r="B37" s="25">
        <v>1637.9999999999998</v>
      </c>
      <c r="C37" s="26" t="s">
        <v>31</v>
      </c>
      <c r="D37" s="26" t="s">
        <v>53</v>
      </c>
      <c r="E37" s="26" t="s">
        <v>30</v>
      </c>
      <c r="F37" s="26" t="s">
        <v>46</v>
      </c>
      <c r="G37" s="26" t="s">
        <v>60</v>
      </c>
    </row>
    <row r="38" spans="1:7">
      <c r="A38" s="24">
        <v>43342</v>
      </c>
      <c r="B38" s="25">
        <v>1113.3599999999999</v>
      </c>
      <c r="C38" s="26" t="s">
        <v>27</v>
      </c>
      <c r="D38" s="26" t="s">
        <v>49</v>
      </c>
      <c r="E38" s="26" t="s">
        <v>30</v>
      </c>
      <c r="F38" s="26" t="s">
        <v>47</v>
      </c>
      <c r="G38" s="26" t="s">
        <v>57</v>
      </c>
    </row>
    <row r="39" spans="1:7">
      <c r="A39" s="24">
        <v>43344</v>
      </c>
      <c r="B39" s="25">
        <v>852.21</v>
      </c>
      <c r="C39" s="26" t="s">
        <v>35</v>
      </c>
      <c r="D39" s="26" t="s">
        <v>54</v>
      </c>
      <c r="E39" s="26" t="s">
        <v>36</v>
      </c>
      <c r="F39" s="26" t="s">
        <v>46</v>
      </c>
      <c r="G39" s="26" t="s">
        <v>61</v>
      </c>
    </row>
    <row r="40" spans="1:7">
      <c r="A40" s="24">
        <v>43356</v>
      </c>
      <c r="B40" s="25">
        <v>957</v>
      </c>
      <c r="C40" s="26" t="s">
        <v>27</v>
      </c>
      <c r="D40" s="26" t="s">
        <v>49</v>
      </c>
      <c r="E40" s="26" t="s">
        <v>34</v>
      </c>
      <c r="F40" s="26" t="s">
        <v>47</v>
      </c>
      <c r="G40" s="26" t="s">
        <v>57</v>
      </c>
    </row>
    <row r="41" spans="1:7">
      <c r="A41" s="24">
        <v>43373</v>
      </c>
      <c r="B41" s="25">
        <v>2000</v>
      </c>
      <c r="C41" s="26" t="s">
        <v>31</v>
      </c>
      <c r="D41" s="26" t="s">
        <v>53</v>
      </c>
      <c r="E41" s="26" t="s">
        <v>30</v>
      </c>
      <c r="F41" s="26" t="s">
        <v>46</v>
      </c>
      <c r="G41" s="26" t="s">
        <v>60</v>
      </c>
    </row>
    <row r="42" spans="1:7">
      <c r="A42" s="24">
        <v>43373</v>
      </c>
      <c r="B42" s="25">
        <v>1113.3599999999999</v>
      </c>
      <c r="C42" s="26" t="s">
        <v>27</v>
      </c>
      <c r="D42" s="26" t="s">
        <v>49</v>
      </c>
      <c r="E42" s="26" t="s">
        <v>30</v>
      </c>
      <c r="F42" s="26" t="s">
        <v>47</v>
      </c>
      <c r="G42" s="26" t="s">
        <v>57</v>
      </c>
    </row>
    <row r="43" spans="1:7">
      <c r="A43" s="24">
        <v>43393</v>
      </c>
      <c r="B43" s="25">
        <v>482</v>
      </c>
      <c r="C43" s="26" t="s">
        <v>27</v>
      </c>
      <c r="D43" s="26" t="s">
        <v>49</v>
      </c>
      <c r="E43" s="26" t="s">
        <v>37</v>
      </c>
      <c r="F43" s="26" t="s">
        <v>47</v>
      </c>
      <c r="G43" s="26" t="s">
        <v>57</v>
      </c>
    </row>
    <row r="44" spans="1:7">
      <c r="A44" s="24">
        <v>43403</v>
      </c>
      <c r="B44" s="25">
        <v>999.99999999999977</v>
      </c>
      <c r="C44" s="26" t="s">
        <v>31</v>
      </c>
      <c r="D44" s="26" t="s">
        <v>53</v>
      </c>
      <c r="E44" s="26" t="s">
        <v>30</v>
      </c>
      <c r="F44" s="26" t="s">
        <v>46</v>
      </c>
      <c r="G44" s="25" t="s">
        <v>60</v>
      </c>
    </row>
    <row r="45" spans="1:7">
      <c r="A45" s="24">
        <v>43403</v>
      </c>
      <c r="B45" s="25">
        <v>1113.3599999999999</v>
      </c>
      <c r="C45" s="26" t="s">
        <v>27</v>
      </c>
      <c r="D45" s="26" t="s">
        <v>49</v>
      </c>
      <c r="E45" s="26" t="s">
        <v>30</v>
      </c>
      <c r="F45" s="26" t="s">
        <v>47</v>
      </c>
      <c r="G45" s="26" t="s">
        <v>57</v>
      </c>
    </row>
    <row r="46" spans="1:7">
      <c r="A46" s="24">
        <v>43411</v>
      </c>
      <c r="B46" s="25">
        <v>999.99999999999977</v>
      </c>
      <c r="C46" s="26" t="s">
        <v>31</v>
      </c>
      <c r="D46" s="26" t="s">
        <v>53</v>
      </c>
      <c r="E46" s="26" t="s">
        <v>30</v>
      </c>
      <c r="F46" s="26" t="s">
        <v>46</v>
      </c>
      <c r="G46" s="26" t="s">
        <v>60</v>
      </c>
    </row>
    <row r="47" spans="1:7">
      <c r="A47" s="24">
        <v>43426</v>
      </c>
      <c r="B47" s="25">
        <v>2866</v>
      </c>
      <c r="C47" s="26" t="s">
        <v>31</v>
      </c>
      <c r="D47" s="26" t="s">
        <v>53</v>
      </c>
      <c r="E47" s="26" t="s">
        <v>38</v>
      </c>
      <c r="F47" s="26" t="s">
        <v>46</v>
      </c>
      <c r="G47" s="26" t="s">
        <v>60</v>
      </c>
    </row>
    <row r="48" spans="1:7">
      <c r="A48" s="24">
        <v>43434</v>
      </c>
      <c r="B48" s="25">
        <v>1113.3599999999999</v>
      </c>
      <c r="C48" s="26" t="s">
        <v>27</v>
      </c>
      <c r="D48" s="26" t="s">
        <v>49</v>
      </c>
      <c r="E48" s="26" t="s">
        <v>30</v>
      </c>
      <c r="F48" s="26" t="s">
        <v>47</v>
      </c>
      <c r="G48" s="26" t="s">
        <v>57</v>
      </c>
    </row>
    <row r="49" spans="1:10">
      <c r="A49" s="24">
        <v>43444</v>
      </c>
      <c r="B49" s="25">
        <v>530</v>
      </c>
      <c r="C49" s="26" t="s">
        <v>40</v>
      </c>
      <c r="D49" s="26" t="s">
        <v>55</v>
      </c>
      <c r="E49" s="26" t="s">
        <v>44</v>
      </c>
      <c r="F49" s="26" t="s">
        <v>46</v>
      </c>
      <c r="G49" s="26" t="s">
        <v>58</v>
      </c>
    </row>
    <row r="50" spans="1:10">
      <c r="A50" s="24">
        <v>43447</v>
      </c>
      <c r="B50" s="25">
        <v>858.67</v>
      </c>
      <c r="C50" s="26" t="s">
        <v>40</v>
      </c>
      <c r="D50" s="26" t="s">
        <v>55</v>
      </c>
      <c r="E50" s="26" t="s">
        <v>30</v>
      </c>
      <c r="F50" s="26" t="s">
        <v>46</v>
      </c>
      <c r="G50" s="26" t="s">
        <v>58</v>
      </c>
    </row>
    <row r="51" spans="1:10">
      <c r="A51" s="24">
        <v>43451</v>
      </c>
      <c r="B51" s="25">
        <v>263.10000000000002</v>
      </c>
      <c r="C51" s="26" t="s">
        <v>35</v>
      </c>
      <c r="D51" s="26" t="s">
        <v>54</v>
      </c>
      <c r="E51" s="26" t="s">
        <v>39</v>
      </c>
      <c r="F51" s="26" t="s">
        <v>46</v>
      </c>
      <c r="G51" s="26" t="s">
        <v>61</v>
      </c>
    </row>
    <row r="52" spans="1:10">
      <c r="A52" s="24">
        <v>43451</v>
      </c>
      <c r="B52" s="25">
        <v>288.29000000000002</v>
      </c>
      <c r="C52" s="26" t="s">
        <v>35</v>
      </c>
      <c r="D52" s="26" t="s">
        <v>54</v>
      </c>
      <c r="E52" s="26" t="s">
        <v>39</v>
      </c>
      <c r="F52" s="26" t="s">
        <v>46</v>
      </c>
      <c r="G52" s="26" t="s">
        <v>61</v>
      </c>
    </row>
    <row r="53" spans="1:10">
      <c r="A53" s="24">
        <v>43451</v>
      </c>
      <c r="B53" s="25">
        <v>176.34</v>
      </c>
      <c r="C53" s="26" t="s">
        <v>40</v>
      </c>
      <c r="D53" s="26" t="s">
        <v>55</v>
      </c>
      <c r="E53" s="26" t="s">
        <v>43</v>
      </c>
      <c r="F53" s="26" t="s">
        <v>46</v>
      </c>
      <c r="G53" s="26" t="s">
        <v>58</v>
      </c>
    </row>
    <row r="54" spans="1:10">
      <c r="A54" s="24">
        <v>43454</v>
      </c>
      <c r="B54" s="25">
        <v>1150</v>
      </c>
      <c r="C54" s="26" t="s">
        <v>40</v>
      </c>
      <c r="D54" s="26" t="s">
        <v>55</v>
      </c>
      <c r="E54" s="26" t="s">
        <v>41</v>
      </c>
      <c r="F54" s="26" t="s">
        <v>46</v>
      </c>
      <c r="G54" s="26" t="s">
        <v>58</v>
      </c>
    </row>
    <row r="55" spans="1:10">
      <c r="A55" s="24">
        <v>43454</v>
      </c>
      <c r="B55" s="25">
        <v>370</v>
      </c>
      <c r="C55" s="26" t="s">
        <v>27</v>
      </c>
      <c r="D55" s="26" t="s">
        <v>49</v>
      </c>
      <c r="E55" s="26" t="s">
        <v>42</v>
      </c>
      <c r="F55" s="26" t="s">
        <v>47</v>
      </c>
      <c r="G55" s="26" t="s">
        <v>57</v>
      </c>
    </row>
    <row r="56" spans="1:10">
      <c r="A56" s="24">
        <v>43462</v>
      </c>
      <c r="B56" s="25">
        <v>1059</v>
      </c>
      <c r="C56" s="26" t="s">
        <v>40</v>
      </c>
      <c r="D56" s="26" t="s">
        <v>55</v>
      </c>
      <c r="E56" s="26" t="s">
        <v>30</v>
      </c>
      <c r="F56" s="26" t="s">
        <v>46</v>
      </c>
      <c r="G56" s="26" t="s">
        <v>58</v>
      </c>
    </row>
    <row r="57" spans="1:10">
      <c r="A57" s="24">
        <v>43464</v>
      </c>
      <c r="B57" s="25">
        <v>1103.5</v>
      </c>
      <c r="C57" s="26" t="s">
        <v>27</v>
      </c>
      <c r="D57" s="26" t="s">
        <v>49</v>
      </c>
      <c r="E57" s="26" t="s">
        <v>30</v>
      </c>
      <c r="F57" s="26" t="s">
        <v>47</v>
      </c>
      <c r="G57" s="26" t="s">
        <v>57</v>
      </c>
      <c r="H57" s="13"/>
      <c r="I57" s="13"/>
      <c r="J57" s="13"/>
    </row>
    <row r="58" spans="1:10">
      <c r="A58" s="24">
        <v>43480</v>
      </c>
      <c r="B58" s="25">
        <v>920</v>
      </c>
      <c r="C58" s="26" t="s">
        <v>40</v>
      </c>
      <c r="D58" s="26" t="s">
        <v>55</v>
      </c>
      <c r="E58" s="26" t="s">
        <v>30</v>
      </c>
      <c r="F58" s="26" t="s">
        <v>46</v>
      </c>
      <c r="G58" s="26" t="s">
        <v>58</v>
      </c>
    </row>
    <row r="59" spans="1:10">
      <c r="A59" s="24">
        <v>43485</v>
      </c>
      <c r="B59" s="25">
        <v>1150</v>
      </c>
      <c r="C59" s="26" t="s">
        <v>40</v>
      </c>
      <c r="D59" s="26" t="s">
        <v>55</v>
      </c>
      <c r="E59" s="26" t="s">
        <v>41</v>
      </c>
      <c r="F59" s="26" t="s">
        <v>46</v>
      </c>
      <c r="G59" s="26" t="s">
        <v>58</v>
      </c>
    </row>
    <row r="60" spans="1:10">
      <c r="A60" s="24">
        <v>43495</v>
      </c>
      <c r="B60" s="25">
        <v>1053</v>
      </c>
      <c r="C60" s="26" t="s">
        <v>27</v>
      </c>
      <c r="D60" s="26" t="s">
        <v>49</v>
      </c>
      <c r="E60" s="26" t="s">
        <v>30</v>
      </c>
      <c r="F60" s="26" t="s">
        <v>47</v>
      </c>
      <c r="G60" s="26" t="s">
        <v>57</v>
      </c>
    </row>
    <row r="61" spans="1:10">
      <c r="A61" s="24">
        <v>43495</v>
      </c>
      <c r="B61" s="25">
        <v>1138</v>
      </c>
      <c r="C61" s="26" t="s">
        <v>40</v>
      </c>
      <c r="D61" s="26" t="s">
        <v>55</v>
      </c>
      <c r="E61" s="26" t="s">
        <v>30</v>
      </c>
      <c r="F61" s="26" t="s">
        <v>46</v>
      </c>
      <c r="G61" s="26" t="s">
        <v>58</v>
      </c>
    </row>
    <row r="62" spans="1:10">
      <c r="A62" s="24">
        <v>43495</v>
      </c>
      <c r="B62" s="25">
        <v>950</v>
      </c>
      <c r="C62" s="26" t="s">
        <v>27</v>
      </c>
      <c r="D62" s="26" t="s">
        <v>49</v>
      </c>
      <c r="E62" s="26" t="s">
        <v>30</v>
      </c>
      <c r="F62" s="26" t="s">
        <v>47</v>
      </c>
      <c r="G62" s="26" t="s">
        <v>57</v>
      </c>
    </row>
    <row r="63" spans="1:10">
      <c r="A63" s="24">
        <v>43511</v>
      </c>
      <c r="B63" s="25">
        <v>920</v>
      </c>
      <c r="C63" s="26" t="s">
        <v>40</v>
      </c>
      <c r="D63" s="26" t="s">
        <v>55</v>
      </c>
      <c r="E63" s="26" t="s">
        <v>30</v>
      </c>
      <c r="F63" s="26" t="s">
        <v>46</v>
      </c>
      <c r="G63" s="26" t="s">
        <v>58</v>
      </c>
    </row>
    <row r="64" spans="1:10">
      <c r="A64" s="24">
        <v>43524</v>
      </c>
      <c r="B64" s="25">
        <v>1113.3599999999999</v>
      </c>
      <c r="C64" s="26" t="s">
        <v>27</v>
      </c>
      <c r="D64" s="26" t="s">
        <v>49</v>
      </c>
      <c r="E64" s="26" t="s">
        <v>30</v>
      </c>
      <c r="F64" s="26" t="s">
        <v>47</v>
      </c>
      <c r="G64" s="26" t="s">
        <v>57</v>
      </c>
    </row>
    <row r="65" spans="1:7">
      <c r="A65" s="24">
        <v>43524</v>
      </c>
      <c r="B65" s="25">
        <v>1138</v>
      </c>
      <c r="C65" s="26" t="s">
        <v>40</v>
      </c>
      <c r="D65" s="26" t="s">
        <v>55</v>
      </c>
      <c r="E65" s="26" t="s">
        <v>30</v>
      </c>
      <c r="F65" s="26" t="s">
        <v>46</v>
      </c>
      <c r="G65" s="26" t="s">
        <v>58</v>
      </c>
    </row>
    <row r="66" spans="1:7">
      <c r="A66" s="24">
        <v>43544</v>
      </c>
      <c r="B66" s="25">
        <v>575</v>
      </c>
      <c r="C66" s="26" t="s">
        <v>40</v>
      </c>
      <c r="D66" s="26" t="s">
        <v>55</v>
      </c>
      <c r="E66" s="26" t="s">
        <v>30</v>
      </c>
      <c r="F66" s="26" t="s">
        <v>46</v>
      </c>
      <c r="G66" s="26" t="s">
        <v>58</v>
      </c>
    </row>
    <row r="67" spans="1:7">
      <c r="A67" s="24">
        <v>43554</v>
      </c>
      <c r="B67" s="25">
        <v>1113.3599999999999</v>
      </c>
      <c r="C67" s="26" t="s">
        <v>27</v>
      </c>
      <c r="D67" s="26" t="s">
        <v>49</v>
      </c>
      <c r="E67" s="26" t="s">
        <v>30</v>
      </c>
      <c r="F67" s="26" t="s">
        <v>47</v>
      </c>
      <c r="G67" s="26" t="s">
        <v>57</v>
      </c>
    </row>
    <row r="68" spans="1:7">
      <c r="A68" s="24">
        <v>43557</v>
      </c>
      <c r="B68" s="25">
        <v>1414</v>
      </c>
      <c r="C68" s="26" t="s">
        <v>63</v>
      </c>
      <c r="D68" s="26" t="s">
        <v>64</v>
      </c>
      <c r="E68" s="26" t="s">
        <v>30</v>
      </c>
      <c r="F68" s="26" t="s">
        <v>46</v>
      </c>
      <c r="G68" s="26" t="s">
        <v>58</v>
      </c>
    </row>
    <row r="69" spans="1:7">
      <c r="A69" s="24">
        <v>43575</v>
      </c>
      <c r="B69" s="25">
        <v>1385</v>
      </c>
      <c r="C69" s="26" t="s">
        <v>63</v>
      </c>
      <c r="D69" s="26" t="s">
        <v>64</v>
      </c>
      <c r="E69" s="26" t="s">
        <v>65</v>
      </c>
      <c r="F69" s="26" t="s">
        <v>46</v>
      </c>
      <c r="G69" s="26" t="s">
        <v>58</v>
      </c>
    </row>
    <row r="70" spans="1:7">
      <c r="A70" s="24">
        <v>43585</v>
      </c>
      <c r="B70" s="25">
        <v>1113.3599999999999</v>
      </c>
      <c r="C70" s="26" t="s">
        <v>27</v>
      </c>
      <c r="D70" s="26" t="s">
        <v>49</v>
      </c>
      <c r="E70" s="26" t="s">
        <v>30</v>
      </c>
      <c r="F70" s="26" t="s">
        <v>47</v>
      </c>
      <c r="G70" s="26" t="s">
        <v>57</v>
      </c>
    </row>
    <row r="71" spans="1:7">
      <c r="A71" s="24">
        <v>43590</v>
      </c>
      <c r="B71" s="25">
        <v>1679</v>
      </c>
      <c r="C71" s="26" t="s">
        <v>63</v>
      </c>
      <c r="D71" s="26" t="s">
        <v>64</v>
      </c>
      <c r="E71" s="26" t="s">
        <v>30</v>
      </c>
      <c r="F71" s="26" t="s">
        <v>46</v>
      </c>
      <c r="G71" s="26" t="s">
        <v>58</v>
      </c>
    </row>
    <row r="72" spans="1:7">
      <c r="A72" s="24">
        <v>43605</v>
      </c>
      <c r="B72" s="25">
        <v>1351</v>
      </c>
      <c r="C72" s="26" t="s">
        <v>63</v>
      </c>
      <c r="D72" s="26" t="s">
        <v>64</v>
      </c>
      <c r="E72" s="26" t="s">
        <v>65</v>
      </c>
      <c r="F72" s="26" t="s">
        <v>46</v>
      </c>
      <c r="G72" s="26" t="s">
        <v>58</v>
      </c>
    </row>
    <row r="73" spans="1:7">
      <c r="A73" s="24">
        <v>43615</v>
      </c>
      <c r="B73" s="25">
        <v>1191</v>
      </c>
      <c r="C73" s="26" t="s">
        <v>27</v>
      </c>
      <c r="D73" s="26" t="s">
        <v>49</v>
      </c>
      <c r="E73" s="26" t="s">
        <v>30</v>
      </c>
      <c r="F73" s="26" t="s">
        <v>47</v>
      </c>
      <c r="G73" s="26" t="s">
        <v>57</v>
      </c>
    </row>
    <row r="74" spans="1:7">
      <c r="A74" s="24">
        <v>43621</v>
      </c>
      <c r="B74" s="25">
        <v>1679</v>
      </c>
      <c r="C74" s="26" t="s">
        <v>63</v>
      </c>
      <c r="D74" s="26" t="s">
        <v>64</v>
      </c>
      <c r="E74" s="26" t="s">
        <v>30</v>
      </c>
      <c r="F74" s="26" t="s">
        <v>46</v>
      </c>
      <c r="G74" s="26" t="s">
        <v>58</v>
      </c>
    </row>
    <row r="75" spans="1:7">
      <c r="A75" s="24">
        <v>43636</v>
      </c>
      <c r="B75" s="25">
        <v>1334</v>
      </c>
      <c r="C75" s="26" t="s">
        <v>63</v>
      </c>
      <c r="D75" s="26" t="s">
        <v>64</v>
      </c>
      <c r="E75" s="26" t="s">
        <v>65</v>
      </c>
      <c r="F75" s="26" t="s">
        <v>46</v>
      </c>
      <c r="G75" s="26" t="s">
        <v>58</v>
      </c>
    </row>
    <row r="76" spans="1:7">
      <c r="A76" s="24">
        <v>43646</v>
      </c>
      <c r="B76" s="25">
        <v>1191.46</v>
      </c>
      <c r="C76" s="26" t="s">
        <v>27</v>
      </c>
      <c r="D76" s="26" t="s">
        <v>49</v>
      </c>
      <c r="E76" s="26" t="s">
        <v>30</v>
      </c>
      <c r="F76" s="26" t="s">
        <v>47</v>
      </c>
      <c r="G76" s="26" t="s">
        <v>57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F1FEB84E-1C7B-41C3-B538-8C1DE6CF9932}">
  <ds:schemaRefs/>
</ds:datastoreItem>
</file>

<file path=customXml/itemProps2.xml><?xml version="1.0" encoding="utf-8"?>
<ds:datastoreItem xmlns:ds="http://schemas.openxmlformats.org/officeDocument/2006/customXml" ds:itemID="{1B8BA561-16E2-4B8F-9961-FEFF5589284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4C2CA2E-CC3C-47B7-9F23-63AB4E19139B}">
  <ds:schemaRefs/>
</ds:datastoreItem>
</file>

<file path=customXml/itemProps4.xml><?xml version="1.0" encoding="utf-8"?>
<ds:datastoreItem xmlns:ds="http://schemas.openxmlformats.org/officeDocument/2006/customXml" ds:itemID="{8E657FFD-C8A5-461C-AF41-8033DD907721}">
  <ds:schemaRefs/>
</ds:datastoreItem>
</file>

<file path=customXml/itemProps5.xml><?xml version="1.0" encoding="utf-8"?>
<ds:datastoreItem xmlns:ds="http://schemas.openxmlformats.org/officeDocument/2006/customXml" ds:itemID="{F198D5A5-81D4-4357-ADB7-CC8562E29F00}">
  <ds:schemaRefs/>
</ds:datastoreItem>
</file>

<file path=customXml/itemProps6.xml><?xml version="1.0" encoding="utf-8"?>
<ds:datastoreItem xmlns:ds="http://schemas.openxmlformats.org/officeDocument/2006/customXml" ds:itemID="{A0F36805-53E4-410D-A812-0AA82284A3AD}">
  <ds:schemaRefs/>
</ds:datastoreItem>
</file>

<file path=customXml/itemProps7.xml><?xml version="1.0" encoding="utf-8"?>
<ds:datastoreItem xmlns:ds="http://schemas.openxmlformats.org/officeDocument/2006/customXml" ds:itemID="{7E2E6765-3CA2-4E9E-A375-C787CE343432}">
  <ds:schemaRefs/>
</ds:datastoreItem>
</file>

<file path=customXml/itemProps8.xml><?xml version="1.0" encoding="utf-8"?>
<ds:datastoreItem xmlns:ds="http://schemas.openxmlformats.org/officeDocument/2006/customXml" ds:itemID="{3087B07E-1EE7-48AC-8F53-6DF997377958}">
  <ds:schemaRefs/>
</ds:datastoreItem>
</file>

<file path=customXml/itemProps9.xml><?xml version="1.0" encoding="utf-8"?>
<ds:datastoreItem xmlns:ds="http://schemas.openxmlformats.org/officeDocument/2006/customXml" ds:itemID="{D974A079-583E-4241-9EB6-FE381F5D131E}">
  <ds:schemaRefs/>
</ds:datastoreItem>
</file>

<file path=customXml/itemProps10.xml><?xml version="1.0" encoding="utf-8"?>
<ds:datastoreItem xmlns:ds="http://schemas.openxmlformats.org/officeDocument/2006/customXml" ds:itemID="{041EE6DE-B16D-4642-96A2-C5608173904E}">
  <ds:schemaRefs/>
</ds:datastoreItem>
</file>

<file path=customXml/itemProps11.xml><?xml version="1.0" encoding="utf-8"?>
<ds:datastoreItem xmlns:ds="http://schemas.openxmlformats.org/officeDocument/2006/customXml" ds:itemID="{F5188F27-B107-4F00-9B02-450293E4EB0A}">
  <ds:schemaRefs/>
</ds:datastoreItem>
</file>

<file path=customXml/itemProps12.xml><?xml version="1.0" encoding="utf-8"?>
<ds:datastoreItem xmlns:ds="http://schemas.openxmlformats.org/officeDocument/2006/customXml" ds:itemID="{2BAB35D9-4540-49D8-9CF0-DF27D5294456}">
  <ds:schemaRefs/>
</ds:datastoreItem>
</file>

<file path=customXml/itemProps13.xml><?xml version="1.0" encoding="utf-8"?>
<ds:datastoreItem xmlns:ds="http://schemas.openxmlformats.org/officeDocument/2006/customXml" ds:itemID="{293F8212-EF4B-4AAC-B8C7-938DABFC0B0F}">
  <ds:schemaRefs/>
</ds:datastoreItem>
</file>

<file path=customXml/itemProps14.xml><?xml version="1.0" encoding="utf-8"?>
<ds:datastoreItem xmlns:ds="http://schemas.openxmlformats.org/officeDocument/2006/customXml" ds:itemID="{757674BC-7828-4DF4-8531-D29FE34CC1BC}">
  <ds:schemaRefs/>
</ds:datastoreItem>
</file>

<file path=customXml/itemProps15.xml><?xml version="1.0" encoding="utf-8"?>
<ds:datastoreItem xmlns:ds="http://schemas.openxmlformats.org/officeDocument/2006/customXml" ds:itemID="{F02F512A-F118-48CB-A610-3D3766A7F0EE}">
  <ds:schemaRefs/>
</ds:datastoreItem>
</file>

<file path=customXml/itemProps16.xml><?xml version="1.0" encoding="utf-8"?>
<ds:datastoreItem xmlns:ds="http://schemas.openxmlformats.org/officeDocument/2006/customXml" ds:itemID="{4FF2B90B-B49B-4876-AFE2-F86E51129A1D}">
  <ds:schemaRefs/>
</ds:datastoreItem>
</file>

<file path=customXml/itemProps17.xml><?xml version="1.0" encoding="utf-8"?>
<ds:datastoreItem xmlns:ds="http://schemas.openxmlformats.org/officeDocument/2006/customXml" ds:itemID="{74B3BBD9-F63E-48FE-81FC-F2CD4EAFF590}">
  <ds:schemaRefs/>
</ds:datastoreItem>
</file>

<file path=customXml/itemProps18.xml><?xml version="1.0" encoding="utf-8"?>
<ds:datastoreItem xmlns:ds="http://schemas.openxmlformats.org/officeDocument/2006/customXml" ds:itemID="{52183963-FF83-4E4D-B90B-F4AD3DA7E09A}">
  <ds:schemaRefs/>
</ds:datastoreItem>
</file>

<file path=customXml/itemProps19.xml><?xml version="1.0" encoding="utf-8"?>
<ds:datastoreItem xmlns:ds="http://schemas.openxmlformats.org/officeDocument/2006/customXml" ds:itemID="{599CC3D4-1F97-482B-BA37-9D0AA496A0D1}">
  <ds:schemaRefs/>
</ds:datastoreItem>
</file>

<file path=customXml/itemProps20.xml><?xml version="1.0" encoding="utf-8"?>
<ds:datastoreItem xmlns:ds="http://schemas.openxmlformats.org/officeDocument/2006/customXml" ds:itemID="{66D795A1-E0E7-4D4F-9B29-AE3785DC4DA4}">
  <ds:schemaRefs/>
</ds:datastoreItem>
</file>

<file path=customXml/itemProps21.xml><?xml version="1.0" encoding="utf-8"?>
<ds:datastoreItem xmlns:ds="http://schemas.openxmlformats.org/officeDocument/2006/customXml" ds:itemID="{B4ACA121-644A-49B3-9086-A2F1386804E3}">
  <ds:schemaRefs/>
</ds:datastoreItem>
</file>

<file path=customXml/itemProps22.xml><?xml version="1.0" encoding="utf-8"?>
<ds:datastoreItem xmlns:ds="http://schemas.openxmlformats.org/officeDocument/2006/customXml" ds:itemID="{9616B0A6-CA28-448B-885E-7944CF2E9F31}">
  <ds:schemaRefs/>
</ds:datastoreItem>
</file>

<file path=customXml/itemProps23.xml><?xml version="1.0" encoding="utf-8"?>
<ds:datastoreItem xmlns:ds="http://schemas.openxmlformats.org/officeDocument/2006/customXml" ds:itemID="{626ED879-5D0B-43C3-A9CD-0754205125BF}">
  <ds:schemaRefs/>
</ds:datastoreItem>
</file>

<file path=customXml/itemProps24.xml><?xml version="1.0" encoding="utf-8"?>
<ds:datastoreItem xmlns:ds="http://schemas.openxmlformats.org/officeDocument/2006/customXml" ds:itemID="{A3BC9CDC-7CA1-44EA-B24E-5E5C8FD651F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Tabela_Cartões</vt:lpstr>
      <vt:lpstr>tbDespesas</vt:lpstr>
      <vt:lpstr>tbCartões</vt:lpstr>
      <vt:lpstr>tbReceitas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Ivanildo Junior</dc:creator>
  <cp:keywords/>
  <dc:description/>
  <cp:lastModifiedBy>Ivanildo Junior</cp:lastModifiedBy>
  <cp:revision/>
  <cp:lastPrinted>2019-03-04T20:44:26Z</cp:lastPrinted>
  <dcterms:created xsi:type="dcterms:W3CDTF">2017-08-28T22:45:39Z</dcterms:created>
  <dcterms:modified xsi:type="dcterms:W3CDTF">2019-10-30T02:17:10Z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