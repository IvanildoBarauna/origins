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Junior &amp; Cris\Desktop\"/>
    </mc:Choice>
  </mc:AlternateContent>
  <xr:revisionPtr revIDLastSave="0" documentId="13_ncr:1_{5C2D6E2B-1F2A-4131-960E-DBAD148BDF24}" xr6:coauthVersionLast="41" xr6:coauthVersionMax="41" xr10:uidLastSave="{00000000-0000-0000-0000-000000000000}"/>
  <bookViews>
    <workbookView xWindow="-120" yWindow="-120" windowWidth="20730" windowHeight="11160" activeTab="1" xr2:uid="{00000000-000D-0000-FFFF-FFFF00000000}"/>
  </bookViews>
  <sheets>
    <sheet name="RTD" sheetId="4" r:id="rId1"/>
    <sheet name="Posição de Custódia" sheetId="1" r:id="rId2"/>
    <sheet name="Relatórios" sheetId="5" r:id="rId3"/>
    <sheet name="Acompanhamento de mercado" sheetId="2" r:id="rId4"/>
    <sheet name="Plan3" sheetId="3" state="hidden" r:id="rId5"/>
    <sheet name="IR Day Trade" sheetId="7" r:id="rId6"/>
    <sheet name="Plan4" sheetId="9" state="hidden" r:id="rId7"/>
    <sheet name="Plan5" sheetId="10" state="hidden" r:id="rId8"/>
  </sheets>
  <definedNames>
    <definedName name="compra">Plan3!$F$6:$F$7</definedName>
    <definedName name="Data">'IR Day Trade'!$C$13</definedName>
    <definedName name="lista" localSheetId="3">Plan3!$B$1:$B$33</definedName>
    <definedName name="Lista">Plan3!$B$1:$B$33</definedName>
    <definedName name="tesouro_direto_precos_e_taxas_dos_titulos" localSheetId="6">Plan4!$A$1:$G$54</definedName>
    <definedName name="Titulo">'Posição de Custódia'!$B$35</definedName>
    <definedName name="Título">Plan4!$A$7:$A$19,Plan4!$A$28:$A$54</definedName>
    <definedName name="Trader">Plan3!$F$13:$F$18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7" i="1" l="1"/>
  <c r="H37" i="1" s="1"/>
  <c r="I37" i="1" s="1"/>
  <c r="G38" i="1"/>
  <c r="G39" i="1"/>
  <c r="G40" i="1"/>
  <c r="G41" i="1"/>
  <c r="G42" i="1"/>
  <c r="G43" i="1"/>
  <c r="G44" i="1"/>
  <c r="G45" i="1"/>
  <c r="H38" i="1"/>
  <c r="H39" i="1"/>
  <c r="H40" i="1"/>
  <c r="H41" i="1"/>
  <c r="H42" i="1"/>
  <c r="H43" i="1"/>
  <c r="H44" i="1"/>
  <c r="H45" i="1"/>
  <c r="I38" i="1"/>
  <c r="I39" i="1"/>
  <c r="I40" i="1"/>
  <c r="I41" i="1"/>
  <c r="I42" i="1"/>
  <c r="I43" i="1"/>
  <c r="I44" i="1"/>
  <c r="I45" i="1"/>
  <c r="F46" i="1"/>
  <c r="A46" i="10"/>
  <c r="B46" i="10" s="1"/>
  <c r="A47" i="10"/>
  <c r="B47" i="10" s="1"/>
  <c r="A41" i="10"/>
  <c r="B41" i="10" s="1"/>
  <c r="A42" i="10"/>
  <c r="B42" i="10" s="1"/>
  <c r="A43" i="10"/>
  <c r="B43" i="10" s="1"/>
  <c r="A44" i="10"/>
  <c r="B44" i="10" s="1"/>
  <c r="A45" i="10"/>
  <c r="B45" i="10" s="1"/>
  <c r="A18" i="10"/>
  <c r="B18" i="10" s="1"/>
  <c r="A19" i="10"/>
  <c r="B19" i="10" s="1"/>
  <c r="A20" i="10"/>
  <c r="B20" i="10" s="1"/>
  <c r="A21" i="10"/>
  <c r="B21" i="10" s="1"/>
  <c r="A22" i="10"/>
  <c r="B22" i="10" s="1"/>
  <c r="A23" i="10"/>
  <c r="B23" i="10" s="1"/>
  <c r="A24" i="10"/>
  <c r="B24" i="10" s="1"/>
  <c r="A25" i="10"/>
  <c r="B25" i="10" s="1"/>
  <c r="A26" i="10"/>
  <c r="B26" i="10" s="1"/>
  <c r="A27" i="10"/>
  <c r="B27" i="10" s="1"/>
  <c r="A28" i="10"/>
  <c r="B28" i="10" s="1"/>
  <c r="A29" i="10"/>
  <c r="B29" i="10" s="1"/>
  <c r="A30" i="10"/>
  <c r="B30" i="10" s="1"/>
  <c r="A31" i="10"/>
  <c r="B31" i="10" s="1"/>
  <c r="A32" i="10"/>
  <c r="B32" i="10" s="1"/>
  <c r="A33" i="10"/>
  <c r="B33" i="10" s="1"/>
  <c r="A34" i="10"/>
  <c r="B34" i="10" s="1"/>
  <c r="A35" i="10"/>
  <c r="B35" i="10" s="1"/>
  <c r="A36" i="10"/>
  <c r="B36" i="10" s="1"/>
  <c r="A37" i="10"/>
  <c r="B37" i="10" s="1"/>
  <c r="A38" i="10"/>
  <c r="B38" i="10" s="1"/>
  <c r="A39" i="10"/>
  <c r="B39" i="10" s="1"/>
  <c r="A40" i="10"/>
  <c r="B40" i="10" s="1"/>
  <c r="A17" i="10"/>
  <c r="B17" i="10" s="1"/>
  <c r="A5" i="10"/>
  <c r="B5" i="10" s="1"/>
  <c r="A6" i="10"/>
  <c r="B6" i="10" s="1"/>
  <c r="A7" i="10"/>
  <c r="B7" i="10" s="1"/>
  <c r="A8" i="10"/>
  <c r="B8" i="10" s="1"/>
  <c r="A9" i="10"/>
  <c r="B9" i="10" s="1"/>
  <c r="A10" i="10"/>
  <c r="B10" i="10" s="1"/>
  <c r="A11" i="10"/>
  <c r="B11" i="10" s="1"/>
  <c r="A12" i="10"/>
  <c r="B12" i="10" s="1"/>
  <c r="A13" i="10"/>
  <c r="B13" i="10" s="1"/>
  <c r="A14" i="10"/>
  <c r="B14" i="10" s="1"/>
  <c r="A15" i="10"/>
  <c r="B15" i="10" s="1"/>
  <c r="A16" i="10"/>
  <c r="B16" i="10" s="1"/>
  <c r="A4" i="10"/>
  <c r="I33" i="1"/>
  <c r="K13" i="1"/>
  <c r="G6" i="7"/>
  <c r="I329" i="7"/>
  <c r="G329" i="7"/>
  <c r="F329" i="7"/>
  <c r="I328" i="7"/>
  <c r="G328" i="7"/>
  <c r="F328" i="7"/>
  <c r="I327" i="7"/>
  <c r="G327" i="7"/>
  <c r="F327" i="7"/>
  <c r="I326" i="7"/>
  <c r="G326" i="7"/>
  <c r="F326" i="7"/>
  <c r="I325" i="7"/>
  <c r="G325" i="7"/>
  <c r="F325" i="7"/>
  <c r="I324" i="7"/>
  <c r="G324" i="7"/>
  <c r="F324" i="7"/>
  <c r="I323" i="7"/>
  <c r="G323" i="7"/>
  <c r="F323" i="7"/>
  <c r="I322" i="7"/>
  <c r="G322" i="7"/>
  <c r="F322" i="7"/>
  <c r="I321" i="7"/>
  <c r="G321" i="7"/>
  <c r="F321" i="7"/>
  <c r="I320" i="7"/>
  <c r="G320" i="7"/>
  <c r="F320" i="7"/>
  <c r="I319" i="7"/>
  <c r="G319" i="7"/>
  <c r="F319" i="7"/>
  <c r="I318" i="7"/>
  <c r="G318" i="7"/>
  <c r="F318" i="7"/>
  <c r="I317" i="7"/>
  <c r="G317" i="7"/>
  <c r="F317" i="7"/>
  <c r="I316" i="7"/>
  <c r="G316" i="7"/>
  <c r="F316" i="7"/>
  <c r="I315" i="7"/>
  <c r="G315" i="7"/>
  <c r="F315" i="7"/>
  <c r="I314" i="7"/>
  <c r="G314" i="7"/>
  <c r="F314" i="7"/>
  <c r="I313" i="7"/>
  <c r="G313" i="7"/>
  <c r="F313" i="7"/>
  <c r="I312" i="7"/>
  <c r="G312" i="7"/>
  <c r="F312" i="7"/>
  <c r="I311" i="7"/>
  <c r="G311" i="7"/>
  <c r="F311" i="7"/>
  <c r="I310" i="7"/>
  <c r="G310" i="7"/>
  <c r="F310" i="7"/>
  <c r="I309" i="7"/>
  <c r="G309" i="7"/>
  <c r="F309" i="7"/>
  <c r="I308" i="7"/>
  <c r="G308" i="7"/>
  <c r="F308" i="7"/>
  <c r="I307" i="7"/>
  <c r="G307" i="7"/>
  <c r="F307" i="7"/>
  <c r="I306" i="7"/>
  <c r="G306" i="7"/>
  <c r="F306" i="7"/>
  <c r="I305" i="7"/>
  <c r="G305" i="7"/>
  <c r="F305" i="7"/>
  <c r="I304" i="7"/>
  <c r="G304" i="7"/>
  <c r="F304" i="7"/>
  <c r="I303" i="7"/>
  <c r="G303" i="7"/>
  <c r="F303" i="7"/>
  <c r="I302" i="7"/>
  <c r="G302" i="7"/>
  <c r="F302" i="7"/>
  <c r="I301" i="7"/>
  <c r="G301" i="7"/>
  <c r="F301" i="7"/>
  <c r="I300" i="7"/>
  <c r="G300" i="7"/>
  <c r="F300" i="7"/>
  <c r="I299" i="7"/>
  <c r="G299" i="7"/>
  <c r="F299" i="7"/>
  <c r="I298" i="7"/>
  <c r="G298" i="7"/>
  <c r="F298" i="7"/>
  <c r="I297" i="7"/>
  <c r="G297" i="7"/>
  <c r="F297" i="7"/>
  <c r="I296" i="7"/>
  <c r="G296" i="7"/>
  <c r="F296" i="7"/>
  <c r="I295" i="7"/>
  <c r="G295" i="7"/>
  <c r="F295" i="7"/>
  <c r="I294" i="7"/>
  <c r="G294" i="7"/>
  <c r="F294" i="7"/>
  <c r="I293" i="7"/>
  <c r="G293" i="7"/>
  <c r="F293" i="7"/>
  <c r="I292" i="7"/>
  <c r="G292" i="7"/>
  <c r="F292" i="7"/>
  <c r="I291" i="7"/>
  <c r="G291" i="7"/>
  <c r="F291" i="7"/>
  <c r="I290" i="7"/>
  <c r="G290" i="7"/>
  <c r="F290" i="7"/>
  <c r="I289" i="7"/>
  <c r="G289" i="7"/>
  <c r="F289" i="7"/>
  <c r="I288" i="7"/>
  <c r="G288" i="7"/>
  <c r="F288" i="7"/>
  <c r="I287" i="7"/>
  <c r="G287" i="7"/>
  <c r="F287" i="7"/>
  <c r="I286" i="7"/>
  <c r="G286" i="7"/>
  <c r="F286" i="7"/>
  <c r="I285" i="7"/>
  <c r="G285" i="7"/>
  <c r="F285" i="7"/>
  <c r="I284" i="7"/>
  <c r="G284" i="7"/>
  <c r="F284" i="7"/>
  <c r="I283" i="7"/>
  <c r="G283" i="7"/>
  <c r="F283" i="7"/>
  <c r="I282" i="7"/>
  <c r="G282" i="7"/>
  <c r="F282" i="7"/>
  <c r="I281" i="7"/>
  <c r="G281" i="7"/>
  <c r="F281" i="7"/>
  <c r="I280" i="7"/>
  <c r="G280" i="7"/>
  <c r="F280" i="7"/>
  <c r="I279" i="7"/>
  <c r="G279" i="7"/>
  <c r="F279" i="7"/>
  <c r="I278" i="7"/>
  <c r="G278" i="7"/>
  <c r="F278" i="7"/>
  <c r="I277" i="7"/>
  <c r="G277" i="7"/>
  <c r="F277" i="7"/>
  <c r="I276" i="7"/>
  <c r="G276" i="7"/>
  <c r="F276" i="7"/>
  <c r="I275" i="7"/>
  <c r="G275" i="7"/>
  <c r="F275" i="7"/>
  <c r="I274" i="7"/>
  <c r="G274" i="7"/>
  <c r="F274" i="7"/>
  <c r="I273" i="7"/>
  <c r="G273" i="7"/>
  <c r="F273" i="7"/>
  <c r="I272" i="7"/>
  <c r="G272" i="7"/>
  <c r="F272" i="7"/>
  <c r="I271" i="7"/>
  <c r="G271" i="7"/>
  <c r="F271" i="7"/>
  <c r="I270" i="7"/>
  <c r="G270" i="7"/>
  <c r="F270" i="7"/>
  <c r="I269" i="7"/>
  <c r="G269" i="7"/>
  <c r="F269" i="7"/>
  <c r="I268" i="7"/>
  <c r="G268" i="7"/>
  <c r="F268" i="7"/>
  <c r="I267" i="7"/>
  <c r="G267" i="7"/>
  <c r="F267" i="7"/>
  <c r="I266" i="7"/>
  <c r="G266" i="7"/>
  <c r="F266" i="7"/>
  <c r="I265" i="7"/>
  <c r="G265" i="7"/>
  <c r="F265" i="7"/>
  <c r="I264" i="7"/>
  <c r="G264" i="7"/>
  <c r="F264" i="7"/>
  <c r="I263" i="7"/>
  <c r="G263" i="7"/>
  <c r="F263" i="7"/>
  <c r="I262" i="7"/>
  <c r="G262" i="7"/>
  <c r="F262" i="7"/>
  <c r="I261" i="7"/>
  <c r="G261" i="7"/>
  <c r="F261" i="7"/>
  <c r="I260" i="7"/>
  <c r="G260" i="7"/>
  <c r="F260" i="7"/>
  <c r="I259" i="7"/>
  <c r="G259" i="7"/>
  <c r="F259" i="7"/>
  <c r="I258" i="7"/>
  <c r="G258" i="7"/>
  <c r="F258" i="7"/>
  <c r="I257" i="7"/>
  <c r="G257" i="7"/>
  <c r="F257" i="7"/>
  <c r="I256" i="7"/>
  <c r="G256" i="7"/>
  <c r="F256" i="7"/>
  <c r="I255" i="7"/>
  <c r="G255" i="7"/>
  <c r="F255" i="7"/>
  <c r="I254" i="7"/>
  <c r="G254" i="7"/>
  <c r="F254" i="7"/>
  <c r="I253" i="7"/>
  <c r="G253" i="7"/>
  <c r="F253" i="7"/>
  <c r="I252" i="7"/>
  <c r="G252" i="7"/>
  <c r="F252" i="7"/>
  <c r="I251" i="7"/>
  <c r="G251" i="7"/>
  <c r="F251" i="7"/>
  <c r="I250" i="7"/>
  <c r="G250" i="7"/>
  <c r="F250" i="7"/>
  <c r="I249" i="7"/>
  <c r="G249" i="7"/>
  <c r="F249" i="7"/>
  <c r="I248" i="7"/>
  <c r="G248" i="7"/>
  <c r="F248" i="7"/>
  <c r="I247" i="7"/>
  <c r="G247" i="7"/>
  <c r="F247" i="7"/>
  <c r="I246" i="7"/>
  <c r="G246" i="7"/>
  <c r="F246" i="7"/>
  <c r="I245" i="7"/>
  <c r="G245" i="7"/>
  <c r="F245" i="7"/>
  <c r="I244" i="7"/>
  <c r="G244" i="7"/>
  <c r="F244" i="7"/>
  <c r="I243" i="7"/>
  <c r="G243" i="7"/>
  <c r="F243" i="7"/>
  <c r="I242" i="7"/>
  <c r="G242" i="7"/>
  <c r="F242" i="7"/>
  <c r="I241" i="7"/>
  <c r="G241" i="7"/>
  <c r="F241" i="7"/>
  <c r="I240" i="7"/>
  <c r="G240" i="7"/>
  <c r="F240" i="7"/>
  <c r="I239" i="7"/>
  <c r="G239" i="7"/>
  <c r="F239" i="7"/>
  <c r="I238" i="7"/>
  <c r="G238" i="7"/>
  <c r="F238" i="7"/>
  <c r="I237" i="7"/>
  <c r="G237" i="7"/>
  <c r="F237" i="7"/>
  <c r="I236" i="7"/>
  <c r="G236" i="7"/>
  <c r="F236" i="7"/>
  <c r="I235" i="7"/>
  <c r="G235" i="7"/>
  <c r="F235" i="7"/>
  <c r="I234" i="7"/>
  <c r="G234" i="7"/>
  <c r="F234" i="7"/>
  <c r="I233" i="7"/>
  <c r="G233" i="7"/>
  <c r="F233" i="7"/>
  <c r="I232" i="7"/>
  <c r="G232" i="7"/>
  <c r="F232" i="7"/>
  <c r="I231" i="7"/>
  <c r="G231" i="7"/>
  <c r="F231" i="7"/>
  <c r="I230" i="7"/>
  <c r="G230" i="7"/>
  <c r="F230" i="7"/>
  <c r="I229" i="7"/>
  <c r="G229" i="7"/>
  <c r="F229" i="7"/>
  <c r="I228" i="7"/>
  <c r="G228" i="7"/>
  <c r="F228" i="7"/>
  <c r="I227" i="7"/>
  <c r="G227" i="7"/>
  <c r="F227" i="7"/>
  <c r="I226" i="7"/>
  <c r="G226" i="7"/>
  <c r="F226" i="7"/>
  <c r="I225" i="7"/>
  <c r="G225" i="7"/>
  <c r="F225" i="7"/>
  <c r="I224" i="7"/>
  <c r="G224" i="7"/>
  <c r="F224" i="7"/>
  <c r="I223" i="7"/>
  <c r="G223" i="7"/>
  <c r="F223" i="7"/>
  <c r="I222" i="7"/>
  <c r="G222" i="7"/>
  <c r="F222" i="7"/>
  <c r="I221" i="7"/>
  <c r="G221" i="7"/>
  <c r="F221" i="7"/>
  <c r="I220" i="7"/>
  <c r="G220" i="7"/>
  <c r="F220" i="7"/>
  <c r="I219" i="7"/>
  <c r="G219" i="7"/>
  <c r="F219" i="7"/>
  <c r="I218" i="7"/>
  <c r="G218" i="7"/>
  <c r="F218" i="7"/>
  <c r="I217" i="7"/>
  <c r="G217" i="7"/>
  <c r="F217" i="7"/>
  <c r="I216" i="7"/>
  <c r="G216" i="7"/>
  <c r="F216" i="7"/>
  <c r="I215" i="7"/>
  <c r="G215" i="7"/>
  <c r="F215" i="7"/>
  <c r="I214" i="7"/>
  <c r="G214" i="7"/>
  <c r="F214" i="7"/>
  <c r="I213" i="7"/>
  <c r="G213" i="7"/>
  <c r="F213" i="7"/>
  <c r="I212" i="7"/>
  <c r="G212" i="7"/>
  <c r="F212" i="7"/>
  <c r="I211" i="7"/>
  <c r="G211" i="7"/>
  <c r="F211" i="7"/>
  <c r="I210" i="7"/>
  <c r="G210" i="7"/>
  <c r="F210" i="7"/>
  <c r="I209" i="7"/>
  <c r="G209" i="7"/>
  <c r="F209" i="7"/>
  <c r="I208" i="7"/>
  <c r="G208" i="7"/>
  <c r="F208" i="7"/>
  <c r="I207" i="7"/>
  <c r="G207" i="7"/>
  <c r="F207" i="7"/>
  <c r="I206" i="7"/>
  <c r="G206" i="7"/>
  <c r="F206" i="7"/>
  <c r="I205" i="7"/>
  <c r="G205" i="7"/>
  <c r="F205" i="7"/>
  <c r="I204" i="7"/>
  <c r="G204" i="7"/>
  <c r="F204" i="7"/>
  <c r="I203" i="7"/>
  <c r="G203" i="7"/>
  <c r="F203" i="7"/>
  <c r="I202" i="7"/>
  <c r="G202" i="7"/>
  <c r="F202" i="7"/>
  <c r="I201" i="7"/>
  <c r="G201" i="7"/>
  <c r="F201" i="7"/>
  <c r="I200" i="7"/>
  <c r="G200" i="7"/>
  <c r="F200" i="7"/>
  <c r="I199" i="7"/>
  <c r="G199" i="7"/>
  <c r="F199" i="7"/>
  <c r="I198" i="7"/>
  <c r="G198" i="7"/>
  <c r="F198" i="7"/>
  <c r="I197" i="7"/>
  <c r="G197" i="7"/>
  <c r="F197" i="7"/>
  <c r="I196" i="7"/>
  <c r="G196" i="7"/>
  <c r="F196" i="7"/>
  <c r="I195" i="7"/>
  <c r="G195" i="7"/>
  <c r="F195" i="7"/>
  <c r="I194" i="7"/>
  <c r="G194" i="7"/>
  <c r="F194" i="7"/>
  <c r="I193" i="7"/>
  <c r="G193" i="7"/>
  <c r="F193" i="7"/>
  <c r="I192" i="7"/>
  <c r="G192" i="7"/>
  <c r="F192" i="7"/>
  <c r="I191" i="7"/>
  <c r="G191" i="7"/>
  <c r="F191" i="7"/>
  <c r="I190" i="7"/>
  <c r="G190" i="7"/>
  <c r="F190" i="7"/>
  <c r="I189" i="7"/>
  <c r="G189" i="7"/>
  <c r="F189" i="7"/>
  <c r="I188" i="7"/>
  <c r="G188" i="7"/>
  <c r="F188" i="7"/>
  <c r="I187" i="7"/>
  <c r="G187" i="7"/>
  <c r="F187" i="7"/>
  <c r="I186" i="7"/>
  <c r="G186" i="7"/>
  <c r="F186" i="7"/>
  <c r="I185" i="7"/>
  <c r="G185" i="7"/>
  <c r="F185" i="7"/>
  <c r="I184" i="7"/>
  <c r="G184" i="7"/>
  <c r="F184" i="7"/>
  <c r="I183" i="7"/>
  <c r="G183" i="7"/>
  <c r="F183" i="7"/>
  <c r="I182" i="7"/>
  <c r="G182" i="7"/>
  <c r="F182" i="7"/>
  <c r="I181" i="7"/>
  <c r="G181" i="7"/>
  <c r="F181" i="7"/>
  <c r="I180" i="7"/>
  <c r="G180" i="7"/>
  <c r="F180" i="7"/>
  <c r="I179" i="7"/>
  <c r="G179" i="7"/>
  <c r="F179" i="7"/>
  <c r="I178" i="7"/>
  <c r="G178" i="7"/>
  <c r="F178" i="7"/>
  <c r="I177" i="7"/>
  <c r="G177" i="7"/>
  <c r="F177" i="7"/>
  <c r="I176" i="7"/>
  <c r="G176" i="7"/>
  <c r="F176" i="7"/>
  <c r="I175" i="7"/>
  <c r="G175" i="7"/>
  <c r="F175" i="7"/>
  <c r="I174" i="7"/>
  <c r="G174" i="7"/>
  <c r="F174" i="7"/>
  <c r="I173" i="7"/>
  <c r="G173" i="7"/>
  <c r="F173" i="7"/>
  <c r="I172" i="7"/>
  <c r="G172" i="7"/>
  <c r="F172" i="7"/>
  <c r="I171" i="7"/>
  <c r="G171" i="7"/>
  <c r="F171" i="7"/>
  <c r="I170" i="7"/>
  <c r="G170" i="7"/>
  <c r="F170" i="7"/>
  <c r="I169" i="7"/>
  <c r="G169" i="7"/>
  <c r="F169" i="7"/>
  <c r="I168" i="7"/>
  <c r="G168" i="7"/>
  <c r="F168" i="7"/>
  <c r="I167" i="7"/>
  <c r="G167" i="7"/>
  <c r="F167" i="7"/>
  <c r="I166" i="7"/>
  <c r="G166" i="7"/>
  <c r="F166" i="7"/>
  <c r="I165" i="7"/>
  <c r="G165" i="7"/>
  <c r="F165" i="7"/>
  <c r="I164" i="7"/>
  <c r="G164" i="7"/>
  <c r="F164" i="7"/>
  <c r="I163" i="7"/>
  <c r="G163" i="7"/>
  <c r="F163" i="7"/>
  <c r="I162" i="7"/>
  <c r="G162" i="7"/>
  <c r="F162" i="7"/>
  <c r="I161" i="7"/>
  <c r="G161" i="7"/>
  <c r="F161" i="7"/>
  <c r="I160" i="7"/>
  <c r="G160" i="7"/>
  <c r="F160" i="7"/>
  <c r="I159" i="7"/>
  <c r="G159" i="7"/>
  <c r="F159" i="7"/>
  <c r="I158" i="7"/>
  <c r="G158" i="7"/>
  <c r="F158" i="7"/>
  <c r="I157" i="7"/>
  <c r="G157" i="7"/>
  <c r="F157" i="7"/>
  <c r="I156" i="7"/>
  <c r="G156" i="7"/>
  <c r="F156" i="7"/>
  <c r="I155" i="7"/>
  <c r="G155" i="7"/>
  <c r="F155" i="7"/>
  <c r="I154" i="7"/>
  <c r="G154" i="7"/>
  <c r="F154" i="7"/>
  <c r="I153" i="7"/>
  <c r="G153" i="7"/>
  <c r="F153" i="7"/>
  <c r="I152" i="7"/>
  <c r="G152" i="7"/>
  <c r="F152" i="7"/>
  <c r="I151" i="7"/>
  <c r="G151" i="7"/>
  <c r="F151" i="7"/>
  <c r="I150" i="7"/>
  <c r="G150" i="7"/>
  <c r="F150" i="7"/>
  <c r="I149" i="7"/>
  <c r="G149" i="7"/>
  <c r="F149" i="7"/>
  <c r="I148" i="7"/>
  <c r="G148" i="7"/>
  <c r="F148" i="7"/>
  <c r="I147" i="7"/>
  <c r="G147" i="7"/>
  <c r="F147" i="7"/>
  <c r="I146" i="7"/>
  <c r="G146" i="7"/>
  <c r="F146" i="7"/>
  <c r="I145" i="7"/>
  <c r="G145" i="7"/>
  <c r="F145" i="7"/>
  <c r="I144" i="7"/>
  <c r="G144" i="7"/>
  <c r="F144" i="7"/>
  <c r="I143" i="7"/>
  <c r="G143" i="7"/>
  <c r="F143" i="7"/>
  <c r="I142" i="7"/>
  <c r="G142" i="7"/>
  <c r="F142" i="7"/>
  <c r="I141" i="7"/>
  <c r="G141" i="7"/>
  <c r="F141" i="7"/>
  <c r="I140" i="7"/>
  <c r="G140" i="7"/>
  <c r="F140" i="7"/>
  <c r="I139" i="7"/>
  <c r="G139" i="7"/>
  <c r="F139" i="7"/>
  <c r="I138" i="7"/>
  <c r="G138" i="7"/>
  <c r="F138" i="7"/>
  <c r="I137" i="7"/>
  <c r="G137" i="7"/>
  <c r="F137" i="7"/>
  <c r="I136" i="7"/>
  <c r="G136" i="7"/>
  <c r="F136" i="7"/>
  <c r="I135" i="7"/>
  <c r="G135" i="7"/>
  <c r="F135" i="7"/>
  <c r="I134" i="7"/>
  <c r="G134" i="7"/>
  <c r="F134" i="7"/>
  <c r="I133" i="7"/>
  <c r="G133" i="7"/>
  <c r="F133" i="7"/>
  <c r="I132" i="7"/>
  <c r="G132" i="7"/>
  <c r="F132" i="7"/>
  <c r="I131" i="7"/>
  <c r="G131" i="7"/>
  <c r="F131" i="7"/>
  <c r="I130" i="7"/>
  <c r="G130" i="7"/>
  <c r="F130" i="7"/>
  <c r="I129" i="7"/>
  <c r="G129" i="7"/>
  <c r="F129" i="7"/>
  <c r="I128" i="7"/>
  <c r="G128" i="7"/>
  <c r="F128" i="7"/>
  <c r="I127" i="7"/>
  <c r="G127" i="7"/>
  <c r="F127" i="7"/>
  <c r="I126" i="7"/>
  <c r="G126" i="7"/>
  <c r="F126" i="7"/>
  <c r="I125" i="7"/>
  <c r="G125" i="7"/>
  <c r="F125" i="7"/>
  <c r="I124" i="7"/>
  <c r="G124" i="7"/>
  <c r="F124" i="7"/>
  <c r="I123" i="7"/>
  <c r="G123" i="7"/>
  <c r="F123" i="7"/>
  <c r="I122" i="7"/>
  <c r="G122" i="7"/>
  <c r="F122" i="7"/>
  <c r="I121" i="7"/>
  <c r="G121" i="7"/>
  <c r="F121" i="7"/>
  <c r="I120" i="7"/>
  <c r="G120" i="7"/>
  <c r="F120" i="7"/>
  <c r="I119" i="7"/>
  <c r="G119" i="7"/>
  <c r="F119" i="7"/>
  <c r="I118" i="7"/>
  <c r="G118" i="7"/>
  <c r="F118" i="7"/>
  <c r="I117" i="7"/>
  <c r="G117" i="7"/>
  <c r="F117" i="7"/>
  <c r="I116" i="7"/>
  <c r="G116" i="7"/>
  <c r="F116" i="7"/>
  <c r="I115" i="7"/>
  <c r="G115" i="7"/>
  <c r="F115" i="7"/>
  <c r="I114" i="7"/>
  <c r="G114" i="7"/>
  <c r="F114" i="7"/>
  <c r="I113" i="7"/>
  <c r="G113" i="7"/>
  <c r="F113" i="7"/>
  <c r="I112" i="7"/>
  <c r="G112" i="7"/>
  <c r="F112" i="7"/>
  <c r="I111" i="7"/>
  <c r="G111" i="7"/>
  <c r="F111" i="7"/>
  <c r="I110" i="7"/>
  <c r="G110" i="7"/>
  <c r="F110" i="7"/>
  <c r="I109" i="7"/>
  <c r="G109" i="7"/>
  <c r="F109" i="7"/>
  <c r="I108" i="7"/>
  <c r="G108" i="7"/>
  <c r="F108" i="7"/>
  <c r="I107" i="7"/>
  <c r="G107" i="7"/>
  <c r="F107" i="7"/>
  <c r="I106" i="7"/>
  <c r="G106" i="7"/>
  <c r="F106" i="7"/>
  <c r="I105" i="7"/>
  <c r="G105" i="7"/>
  <c r="F105" i="7"/>
  <c r="I104" i="7"/>
  <c r="G104" i="7"/>
  <c r="F104" i="7"/>
  <c r="I103" i="7"/>
  <c r="G103" i="7"/>
  <c r="F103" i="7"/>
  <c r="I102" i="7"/>
  <c r="G102" i="7"/>
  <c r="F102" i="7"/>
  <c r="I101" i="7"/>
  <c r="G101" i="7"/>
  <c r="F101" i="7"/>
  <c r="I100" i="7"/>
  <c r="G100" i="7"/>
  <c r="F100" i="7"/>
  <c r="I99" i="7"/>
  <c r="G99" i="7"/>
  <c r="F99" i="7"/>
  <c r="I98" i="7"/>
  <c r="G98" i="7"/>
  <c r="F98" i="7"/>
  <c r="I97" i="7"/>
  <c r="G97" i="7"/>
  <c r="F97" i="7"/>
  <c r="I96" i="7"/>
  <c r="G96" i="7"/>
  <c r="F96" i="7"/>
  <c r="I95" i="7"/>
  <c r="G95" i="7"/>
  <c r="F95" i="7"/>
  <c r="I94" i="7"/>
  <c r="G94" i="7"/>
  <c r="F94" i="7"/>
  <c r="I93" i="7"/>
  <c r="G93" i="7"/>
  <c r="F93" i="7"/>
  <c r="I92" i="7"/>
  <c r="G92" i="7"/>
  <c r="F92" i="7"/>
  <c r="I91" i="7"/>
  <c r="G91" i="7"/>
  <c r="F91" i="7"/>
  <c r="I90" i="7"/>
  <c r="G90" i="7"/>
  <c r="F90" i="7"/>
  <c r="I89" i="7"/>
  <c r="G89" i="7"/>
  <c r="F89" i="7"/>
  <c r="I88" i="7"/>
  <c r="G88" i="7"/>
  <c r="F88" i="7"/>
  <c r="I87" i="7"/>
  <c r="G87" i="7"/>
  <c r="F87" i="7"/>
  <c r="I86" i="7"/>
  <c r="G86" i="7"/>
  <c r="F86" i="7"/>
  <c r="I85" i="7"/>
  <c r="G85" i="7"/>
  <c r="F85" i="7"/>
  <c r="I84" i="7"/>
  <c r="G84" i="7"/>
  <c r="F84" i="7"/>
  <c r="I83" i="7"/>
  <c r="G83" i="7"/>
  <c r="F83" i="7"/>
  <c r="I82" i="7"/>
  <c r="G82" i="7"/>
  <c r="F82" i="7"/>
  <c r="I81" i="7"/>
  <c r="G81" i="7"/>
  <c r="F81" i="7"/>
  <c r="I80" i="7"/>
  <c r="G80" i="7"/>
  <c r="F80" i="7"/>
  <c r="I79" i="7"/>
  <c r="G79" i="7"/>
  <c r="F79" i="7"/>
  <c r="I78" i="7"/>
  <c r="G78" i="7"/>
  <c r="F78" i="7"/>
  <c r="I77" i="7"/>
  <c r="G77" i="7"/>
  <c r="F77" i="7"/>
  <c r="I76" i="7"/>
  <c r="G76" i="7"/>
  <c r="F76" i="7"/>
  <c r="I75" i="7"/>
  <c r="G75" i="7"/>
  <c r="F75" i="7"/>
  <c r="I74" i="7"/>
  <c r="G74" i="7"/>
  <c r="F74" i="7"/>
  <c r="I73" i="7"/>
  <c r="G73" i="7"/>
  <c r="F73" i="7"/>
  <c r="I72" i="7"/>
  <c r="G72" i="7"/>
  <c r="F72" i="7"/>
  <c r="I71" i="7"/>
  <c r="G71" i="7"/>
  <c r="F71" i="7"/>
  <c r="I70" i="7"/>
  <c r="G70" i="7"/>
  <c r="F70" i="7"/>
  <c r="I69" i="7"/>
  <c r="G69" i="7"/>
  <c r="F69" i="7"/>
  <c r="I68" i="7"/>
  <c r="G68" i="7"/>
  <c r="F68" i="7"/>
  <c r="I67" i="7"/>
  <c r="G67" i="7"/>
  <c r="F67" i="7"/>
  <c r="I66" i="7"/>
  <c r="G66" i="7"/>
  <c r="F66" i="7"/>
  <c r="I65" i="7"/>
  <c r="G65" i="7"/>
  <c r="F65" i="7"/>
  <c r="I64" i="7"/>
  <c r="G64" i="7"/>
  <c r="F64" i="7"/>
  <c r="I63" i="7"/>
  <c r="G63" i="7"/>
  <c r="F63" i="7"/>
  <c r="I62" i="7"/>
  <c r="G62" i="7"/>
  <c r="F62" i="7"/>
  <c r="I61" i="7"/>
  <c r="G61" i="7"/>
  <c r="F61" i="7"/>
  <c r="I60" i="7"/>
  <c r="G60" i="7"/>
  <c r="F60" i="7"/>
  <c r="I59" i="7"/>
  <c r="G59" i="7"/>
  <c r="F59" i="7"/>
  <c r="I58" i="7"/>
  <c r="G58" i="7"/>
  <c r="F58" i="7"/>
  <c r="I57" i="7"/>
  <c r="G57" i="7"/>
  <c r="F57" i="7"/>
  <c r="I56" i="7"/>
  <c r="G56" i="7"/>
  <c r="F56" i="7"/>
  <c r="I55" i="7"/>
  <c r="G55" i="7"/>
  <c r="F55" i="7"/>
  <c r="I54" i="7"/>
  <c r="G54" i="7"/>
  <c r="F54" i="7"/>
  <c r="I53" i="7"/>
  <c r="G53" i="7"/>
  <c r="F53" i="7"/>
  <c r="I52" i="7"/>
  <c r="G52" i="7"/>
  <c r="F52" i="7"/>
  <c r="I51" i="7"/>
  <c r="G51" i="7"/>
  <c r="F51" i="7"/>
  <c r="I50" i="7"/>
  <c r="G50" i="7"/>
  <c r="F50" i="7"/>
  <c r="I49" i="7"/>
  <c r="G49" i="7"/>
  <c r="F49" i="7"/>
  <c r="I48" i="7"/>
  <c r="G48" i="7"/>
  <c r="F48" i="7"/>
  <c r="I47" i="7"/>
  <c r="G47" i="7"/>
  <c r="F47" i="7"/>
  <c r="I46" i="7"/>
  <c r="G46" i="7"/>
  <c r="F46" i="7"/>
  <c r="I45" i="7"/>
  <c r="G45" i="7"/>
  <c r="F45" i="7"/>
  <c r="I44" i="7"/>
  <c r="G44" i="7"/>
  <c r="F44" i="7"/>
  <c r="I43" i="7"/>
  <c r="G43" i="7"/>
  <c r="F43" i="7"/>
  <c r="I42" i="7"/>
  <c r="G42" i="7"/>
  <c r="F42" i="7"/>
  <c r="I41" i="7"/>
  <c r="G41" i="7"/>
  <c r="F41" i="7"/>
  <c r="I40" i="7"/>
  <c r="G40" i="7"/>
  <c r="F40" i="7"/>
  <c r="I39" i="7"/>
  <c r="G39" i="7"/>
  <c r="F39" i="7"/>
  <c r="I38" i="7"/>
  <c r="G38" i="7"/>
  <c r="F38" i="7"/>
  <c r="I37" i="7"/>
  <c r="G37" i="7"/>
  <c r="F37" i="7"/>
  <c r="I36" i="7"/>
  <c r="G36" i="7"/>
  <c r="F36" i="7"/>
  <c r="I35" i="7"/>
  <c r="G35" i="7"/>
  <c r="F35" i="7"/>
  <c r="I34" i="7"/>
  <c r="G34" i="7"/>
  <c r="F34" i="7"/>
  <c r="I33" i="7"/>
  <c r="G33" i="7"/>
  <c r="F33" i="7"/>
  <c r="I32" i="7"/>
  <c r="G32" i="7"/>
  <c r="F32" i="7"/>
  <c r="I31" i="7"/>
  <c r="G31" i="7"/>
  <c r="F31" i="7"/>
  <c r="I30" i="7"/>
  <c r="G30" i="7"/>
  <c r="F30" i="7"/>
  <c r="I29" i="7"/>
  <c r="G29" i="7"/>
  <c r="F29" i="7"/>
  <c r="I28" i="7"/>
  <c r="G28" i="7"/>
  <c r="F28" i="7"/>
  <c r="I27" i="7"/>
  <c r="G27" i="7"/>
  <c r="F27" i="7"/>
  <c r="I26" i="7"/>
  <c r="G26" i="7"/>
  <c r="F26" i="7"/>
  <c r="F8" i="7" l="1"/>
  <c r="G36" i="1"/>
  <c r="H36" i="1" s="1"/>
  <c r="I36" i="1" s="1"/>
  <c r="B4" i="10"/>
  <c r="G35" i="1"/>
  <c r="H35" i="1" s="1"/>
  <c r="I35" i="1" s="1"/>
  <c r="F7" i="7"/>
  <c r="F9" i="7" s="1"/>
  <c r="G9" i="7" s="1"/>
  <c r="M25" i="3"/>
  <c r="M26" i="3"/>
  <c r="M27" i="3"/>
  <c r="M28" i="3"/>
  <c r="M29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5" i="3"/>
  <c r="G46" i="1" l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J11" i="1"/>
  <c r="H46" i="1" l="1"/>
  <c r="I46" i="1" s="1"/>
  <c r="C21" i="2"/>
  <c r="D21" i="2"/>
  <c r="E21" i="2"/>
  <c r="F21" i="2"/>
  <c r="G21" i="2"/>
  <c r="H21" i="2"/>
  <c r="I21" i="2"/>
  <c r="J21" i="2"/>
  <c r="K21" i="2"/>
  <c r="C22" i="2"/>
  <c r="D22" i="2"/>
  <c r="E22" i="2"/>
  <c r="F22" i="2"/>
  <c r="G22" i="2"/>
  <c r="H22" i="2"/>
  <c r="I22" i="2"/>
  <c r="J22" i="2"/>
  <c r="K22" i="2"/>
  <c r="C23" i="2"/>
  <c r="D23" i="2"/>
  <c r="E23" i="2"/>
  <c r="F23" i="2"/>
  <c r="G23" i="2"/>
  <c r="H23" i="2"/>
  <c r="I23" i="2"/>
  <c r="J23" i="2"/>
  <c r="K23" i="2"/>
  <c r="C24" i="2"/>
  <c r="D24" i="2"/>
  <c r="E24" i="2"/>
  <c r="F24" i="2"/>
  <c r="G24" i="2"/>
  <c r="H24" i="2"/>
  <c r="I24" i="2"/>
  <c r="J24" i="2"/>
  <c r="K24" i="2"/>
  <c r="C25" i="2"/>
  <c r="D25" i="2"/>
  <c r="E25" i="2"/>
  <c r="F25" i="2"/>
  <c r="G25" i="2"/>
  <c r="H25" i="2"/>
  <c r="I25" i="2"/>
  <c r="J25" i="2"/>
  <c r="K25" i="2"/>
  <c r="C26" i="2"/>
  <c r="D26" i="2"/>
  <c r="E26" i="2"/>
  <c r="F26" i="2"/>
  <c r="G26" i="2"/>
  <c r="H26" i="2"/>
  <c r="I26" i="2"/>
  <c r="J26" i="2"/>
  <c r="K26" i="2"/>
  <c r="C27" i="2"/>
  <c r="D27" i="2"/>
  <c r="E27" i="2"/>
  <c r="F27" i="2"/>
  <c r="G27" i="2"/>
  <c r="H27" i="2"/>
  <c r="I27" i="2"/>
  <c r="J27" i="2"/>
  <c r="K27" i="2"/>
  <c r="C28" i="2"/>
  <c r="D28" i="2"/>
  <c r="E28" i="2"/>
  <c r="F28" i="2"/>
  <c r="G28" i="2"/>
  <c r="H28" i="2"/>
  <c r="I28" i="2"/>
  <c r="J28" i="2"/>
  <c r="K28" i="2"/>
  <c r="C29" i="2"/>
  <c r="D29" i="2"/>
  <c r="E29" i="2"/>
  <c r="F29" i="2"/>
  <c r="G29" i="2"/>
  <c r="H29" i="2"/>
  <c r="I29" i="2"/>
  <c r="J29" i="2"/>
  <c r="K29" i="2"/>
  <c r="C30" i="2"/>
  <c r="D30" i="2"/>
  <c r="E30" i="2"/>
  <c r="F30" i="2"/>
  <c r="G30" i="2"/>
  <c r="H30" i="2"/>
  <c r="I30" i="2"/>
  <c r="J30" i="2"/>
  <c r="K30" i="2"/>
  <c r="C31" i="2"/>
  <c r="D31" i="2"/>
  <c r="E31" i="2"/>
  <c r="F31" i="2"/>
  <c r="G31" i="2"/>
  <c r="H31" i="2"/>
  <c r="I31" i="2"/>
  <c r="J31" i="2"/>
  <c r="K31" i="2"/>
  <c r="C32" i="2"/>
  <c r="D32" i="2"/>
  <c r="E32" i="2"/>
  <c r="F32" i="2"/>
  <c r="G32" i="2"/>
  <c r="H32" i="2"/>
  <c r="I32" i="2"/>
  <c r="J32" i="2"/>
  <c r="K32" i="2"/>
  <c r="C33" i="2"/>
  <c r="D33" i="2"/>
  <c r="E33" i="2"/>
  <c r="F33" i="2"/>
  <c r="G33" i="2"/>
  <c r="H33" i="2"/>
  <c r="I33" i="2"/>
  <c r="J33" i="2"/>
  <c r="K33" i="2"/>
  <c r="C34" i="2"/>
  <c r="D34" i="2"/>
  <c r="E34" i="2"/>
  <c r="F34" i="2"/>
  <c r="G34" i="2"/>
  <c r="H34" i="2"/>
  <c r="I34" i="2"/>
  <c r="J34" i="2"/>
  <c r="K34" i="2"/>
  <c r="C35" i="2"/>
  <c r="D35" i="2"/>
  <c r="E35" i="2"/>
  <c r="F35" i="2"/>
  <c r="G35" i="2"/>
  <c r="H35" i="2"/>
  <c r="I35" i="2"/>
  <c r="J35" i="2"/>
  <c r="K35" i="2"/>
  <c r="C36" i="2"/>
  <c r="D36" i="2"/>
  <c r="E36" i="2"/>
  <c r="F36" i="2"/>
  <c r="G36" i="2"/>
  <c r="H36" i="2"/>
  <c r="I36" i="2"/>
  <c r="J36" i="2"/>
  <c r="K36" i="2"/>
  <c r="C37" i="2"/>
  <c r="D37" i="2"/>
  <c r="E37" i="2"/>
  <c r="F37" i="2"/>
  <c r="G37" i="2"/>
  <c r="H37" i="2"/>
  <c r="I37" i="2"/>
  <c r="J37" i="2"/>
  <c r="K37" i="2"/>
  <c r="C38" i="2"/>
  <c r="D38" i="2"/>
  <c r="E38" i="2"/>
  <c r="F38" i="2"/>
  <c r="G38" i="2"/>
  <c r="H38" i="2"/>
  <c r="I38" i="2"/>
  <c r="J38" i="2"/>
  <c r="K38" i="2"/>
  <c r="C39" i="2"/>
  <c r="D39" i="2"/>
  <c r="E39" i="2"/>
  <c r="F39" i="2"/>
  <c r="G39" i="2"/>
  <c r="H39" i="2"/>
  <c r="I39" i="2"/>
  <c r="J39" i="2"/>
  <c r="K39" i="2"/>
  <c r="C40" i="2"/>
  <c r="D40" i="2"/>
  <c r="E40" i="2"/>
  <c r="F40" i="2"/>
  <c r="G40" i="2"/>
  <c r="H40" i="2"/>
  <c r="I40" i="2"/>
  <c r="J40" i="2"/>
  <c r="K40" i="2"/>
  <c r="C41" i="2"/>
  <c r="D41" i="2"/>
  <c r="E41" i="2"/>
  <c r="F41" i="2"/>
  <c r="G41" i="2"/>
  <c r="H41" i="2"/>
  <c r="I41" i="2"/>
  <c r="J41" i="2"/>
  <c r="K41" i="2"/>
  <c r="C42" i="2"/>
  <c r="D42" i="2"/>
  <c r="E42" i="2"/>
  <c r="F42" i="2"/>
  <c r="G42" i="2"/>
  <c r="H42" i="2"/>
  <c r="I42" i="2"/>
  <c r="J42" i="2"/>
  <c r="K42" i="2"/>
  <c r="C43" i="2"/>
  <c r="D43" i="2"/>
  <c r="E43" i="2"/>
  <c r="F43" i="2"/>
  <c r="G43" i="2"/>
  <c r="H43" i="2"/>
  <c r="I43" i="2"/>
  <c r="J43" i="2"/>
  <c r="K43" i="2"/>
  <c r="C44" i="2"/>
  <c r="D44" i="2"/>
  <c r="E44" i="2"/>
  <c r="F44" i="2"/>
  <c r="G44" i="2"/>
  <c r="H44" i="2"/>
  <c r="I44" i="2"/>
  <c r="J44" i="2"/>
  <c r="K44" i="2"/>
  <c r="C45" i="2"/>
  <c r="D45" i="2"/>
  <c r="E45" i="2"/>
  <c r="F45" i="2"/>
  <c r="G45" i="2"/>
  <c r="H45" i="2"/>
  <c r="I45" i="2"/>
  <c r="J45" i="2"/>
  <c r="K45" i="2"/>
  <c r="C46" i="2"/>
  <c r="D46" i="2"/>
  <c r="E46" i="2"/>
  <c r="F46" i="2"/>
  <c r="G46" i="2"/>
  <c r="H46" i="2"/>
  <c r="I46" i="2"/>
  <c r="J46" i="2"/>
  <c r="K46" i="2"/>
  <c r="C47" i="2"/>
  <c r="D47" i="2"/>
  <c r="E47" i="2"/>
  <c r="F47" i="2"/>
  <c r="G47" i="2"/>
  <c r="H47" i="2"/>
  <c r="I47" i="2"/>
  <c r="J47" i="2"/>
  <c r="K47" i="2"/>
  <c r="C48" i="2"/>
  <c r="D48" i="2"/>
  <c r="E48" i="2"/>
  <c r="F48" i="2"/>
  <c r="G48" i="2"/>
  <c r="H48" i="2"/>
  <c r="I48" i="2"/>
  <c r="J48" i="2"/>
  <c r="K48" i="2"/>
  <c r="C49" i="2"/>
  <c r="D49" i="2"/>
  <c r="E49" i="2"/>
  <c r="F49" i="2"/>
  <c r="G49" i="2"/>
  <c r="H49" i="2"/>
  <c r="I49" i="2"/>
  <c r="J49" i="2"/>
  <c r="K49" i="2"/>
  <c r="C50" i="2"/>
  <c r="D50" i="2"/>
  <c r="E50" i="2"/>
  <c r="F50" i="2"/>
  <c r="G50" i="2"/>
  <c r="H50" i="2"/>
  <c r="I50" i="2"/>
  <c r="J50" i="2"/>
  <c r="K50" i="2"/>
  <c r="C51" i="2"/>
  <c r="D51" i="2"/>
  <c r="E51" i="2"/>
  <c r="F51" i="2"/>
  <c r="G51" i="2"/>
  <c r="H51" i="2"/>
  <c r="I51" i="2"/>
  <c r="J51" i="2"/>
  <c r="K51" i="2"/>
  <c r="C52" i="2"/>
  <c r="D52" i="2"/>
  <c r="E52" i="2"/>
  <c r="F52" i="2"/>
  <c r="G52" i="2"/>
  <c r="H52" i="2"/>
  <c r="I52" i="2"/>
  <c r="J52" i="2"/>
  <c r="K52" i="2"/>
  <c r="C53" i="2"/>
  <c r="D53" i="2"/>
  <c r="E53" i="2"/>
  <c r="F53" i="2"/>
  <c r="G53" i="2"/>
  <c r="H53" i="2"/>
  <c r="I53" i="2"/>
  <c r="J53" i="2"/>
  <c r="K53" i="2"/>
  <c r="C54" i="2"/>
  <c r="D54" i="2"/>
  <c r="E54" i="2"/>
  <c r="F54" i="2"/>
  <c r="G54" i="2"/>
  <c r="H54" i="2"/>
  <c r="I54" i="2"/>
  <c r="J54" i="2"/>
  <c r="K54" i="2"/>
  <c r="C55" i="2"/>
  <c r="D55" i="2"/>
  <c r="E55" i="2"/>
  <c r="F55" i="2"/>
  <c r="G55" i="2"/>
  <c r="H55" i="2"/>
  <c r="I55" i="2"/>
  <c r="J55" i="2"/>
  <c r="K55" i="2"/>
  <c r="C56" i="2"/>
  <c r="D56" i="2"/>
  <c r="E56" i="2"/>
  <c r="F56" i="2"/>
  <c r="G56" i="2"/>
  <c r="H56" i="2"/>
  <c r="I56" i="2"/>
  <c r="J56" i="2"/>
  <c r="K56" i="2"/>
  <c r="C57" i="2"/>
  <c r="D57" i="2"/>
  <c r="E57" i="2"/>
  <c r="F57" i="2"/>
  <c r="G57" i="2"/>
  <c r="H57" i="2"/>
  <c r="I57" i="2"/>
  <c r="J57" i="2"/>
  <c r="K57" i="2"/>
  <c r="C58" i="2"/>
  <c r="D58" i="2"/>
  <c r="E58" i="2"/>
  <c r="F58" i="2"/>
  <c r="G58" i="2"/>
  <c r="H58" i="2"/>
  <c r="I58" i="2"/>
  <c r="J58" i="2"/>
  <c r="K58" i="2"/>
  <c r="C59" i="2"/>
  <c r="D59" i="2"/>
  <c r="E59" i="2"/>
  <c r="F59" i="2"/>
  <c r="G59" i="2"/>
  <c r="H59" i="2"/>
  <c r="I59" i="2"/>
  <c r="J59" i="2"/>
  <c r="K59" i="2"/>
  <c r="C60" i="2"/>
  <c r="D60" i="2"/>
  <c r="E60" i="2"/>
  <c r="F60" i="2"/>
  <c r="G60" i="2"/>
  <c r="H60" i="2"/>
  <c r="I60" i="2"/>
  <c r="J60" i="2"/>
  <c r="K60" i="2"/>
  <c r="C61" i="2"/>
  <c r="D61" i="2"/>
  <c r="E61" i="2"/>
  <c r="F61" i="2"/>
  <c r="G61" i="2"/>
  <c r="H61" i="2"/>
  <c r="I61" i="2"/>
  <c r="J61" i="2"/>
  <c r="K61" i="2"/>
  <c r="C62" i="2"/>
  <c r="D62" i="2"/>
  <c r="E62" i="2"/>
  <c r="F62" i="2"/>
  <c r="G62" i="2"/>
  <c r="H62" i="2"/>
  <c r="I62" i="2"/>
  <c r="J62" i="2"/>
  <c r="K62" i="2"/>
  <c r="C63" i="2"/>
  <c r="D63" i="2"/>
  <c r="E63" i="2"/>
  <c r="F63" i="2"/>
  <c r="G63" i="2"/>
  <c r="H63" i="2"/>
  <c r="I63" i="2"/>
  <c r="J63" i="2"/>
  <c r="K63" i="2"/>
  <c r="C64" i="2"/>
  <c r="D64" i="2"/>
  <c r="E64" i="2"/>
  <c r="F64" i="2"/>
  <c r="G64" i="2"/>
  <c r="H64" i="2"/>
  <c r="I64" i="2"/>
  <c r="J64" i="2"/>
  <c r="K64" i="2"/>
  <c r="C65" i="2"/>
  <c r="D65" i="2"/>
  <c r="E65" i="2"/>
  <c r="F65" i="2"/>
  <c r="G65" i="2"/>
  <c r="H65" i="2"/>
  <c r="I65" i="2"/>
  <c r="J65" i="2"/>
  <c r="K65" i="2"/>
  <c r="C66" i="2"/>
  <c r="D66" i="2"/>
  <c r="E66" i="2"/>
  <c r="F66" i="2"/>
  <c r="G66" i="2"/>
  <c r="H66" i="2"/>
  <c r="I66" i="2"/>
  <c r="J66" i="2"/>
  <c r="K66" i="2"/>
  <c r="C67" i="2"/>
  <c r="D67" i="2"/>
  <c r="E67" i="2"/>
  <c r="F67" i="2"/>
  <c r="G67" i="2"/>
  <c r="H67" i="2"/>
  <c r="I67" i="2"/>
  <c r="J67" i="2"/>
  <c r="K67" i="2"/>
  <c r="C68" i="2"/>
  <c r="D68" i="2"/>
  <c r="E68" i="2"/>
  <c r="F68" i="2"/>
  <c r="G68" i="2"/>
  <c r="H68" i="2"/>
  <c r="I68" i="2"/>
  <c r="J68" i="2"/>
  <c r="K68" i="2"/>
  <c r="C69" i="2"/>
  <c r="D69" i="2"/>
  <c r="E69" i="2"/>
  <c r="F69" i="2"/>
  <c r="G69" i="2"/>
  <c r="H69" i="2"/>
  <c r="I69" i="2"/>
  <c r="J69" i="2"/>
  <c r="K69" i="2"/>
  <c r="C70" i="2"/>
  <c r="D70" i="2"/>
  <c r="E70" i="2"/>
  <c r="F70" i="2"/>
  <c r="G70" i="2"/>
  <c r="H70" i="2"/>
  <c r="I70" i="2"/>
  <c r="J70" i="2"/>
  <c r="K70" i="2"/>
  <c r="C71" i="2"/>
  <c r="D71" i="2"/>
  <c r="E71" i="2"/>
  <c r="F71" i="2"/>
  <c r="G71" i="2"/>
  <c r="H71" i="2"/>
  <c r="I71" i="2"/>
  <c r="J71" i="2"/>
  <c r="K71" i="2"/>
  <c r="C72" i="2"/>
  <c r="D72" i="2"/>
  <c r="E72" i="2"/>
  <c r="F72" i="2"/>
  <c r="G72" i="2"/>
  <c r="H72" i="2"/>
  <c r="I72" i="2"/>
  <c r="J72" i="2"/>
  <c r="K72" i="2"/>
  <c r="C73" i="2"/>
  <c r="D73" i="2"/>
  <c r="E73" i="2"/>
  <c r="F73" i="2"/>
  <c r="G73" i="2"/>
  <c r="H73" i="2"/>
  <c r="I73" i="2"/>
  <c r="J73" i="2"/>
  <c r="K73" i="2"/>
  <c r="C74" i="2"/>
  <c r="D74" i="2"/>
  <c r="E74" i="2"/>
  <c r="F74" i="2"/>
  <c r="G74" i="2"/>
  <c r="H74" i="2"/>
  <c r="I74" i="2"/>
  <c r="J74" i="2"/>
  <c r="K74" i="2"/>
  <c r="C75" i="2"/>
  <c r="D75" i="2"/>
  <c r="E75" i="2"/>
  <c r="F75" i="2"/>
  <c r="G75" i="2"/>
  <c r="H75" i="2"/>
  <c r="I75" i="2"/>
  <c r="J75" i="2"/>
  <c r="K75" i="2"/>
  <c r="C76" i="2"/>
  <c r="D76" i="2"/>
  <c r="E76" i="2"/>
  <c r="F76" i="2"/>
  <c r="G76" i="2"/>
  <c r="H76" i="2"/>
  <c r="I76" i="2"/>
  <c r="J76" i="2"/>
  <c r="K76" i="2"/>
  <c r="C77" i="2"/>
  <c r="D77" i="2"/>
  <c r="E77" i="2"/>
  <c r="F77" i="2"/>
  <c r="G77" i="2"/>
  <c r="H77" i="2"/>
  <c r="I77" i="2"/>
  <c r="J77" i="2"/>
  <c r="K77" i="2"/>
  <c r="C78" i="2"/>
  <c r="D78" i="2"/>
  <c r="E78" i="2"/>
  <c r="F78" i="2"/>
  <c r="G78" i="2"/>
  <c r="H78" i="2"/>
  <c r="I78" i="2"/>
  <c r="J78" i="2"/>
  <c r="K78" i="2"/>
  <c r="C79" i="2"/>
  <c r="D79" i="2"/>
  <c r="E79" i="2"/>
  <c r="F79" i="2"/>
  <c r="G79" i="2"/>
  <c r="H79" i="2"/>
  <c r="I79" i="2"/>
  <c r="J79" i="2"/>
  <c r="K79" i="2"/>
  <c r="C80" i="2"/>
  <c r="D80" i="2"/>
  <c r="E80" i="2"/>
  <c r="F80" i="2"/>
  <c r="G80" i="2"/>
  <c r="H80" i="2"/>
  <c r="I80" i="2"/>
  <c r="J80" i="2"/>
  <c r="K80" i="2"/>
  <c r="C81" i="2"/>
  <c r="D81" i="2"/>
  <c r="E81" i="2"/>
  <c r="F81" i="2"/>
  <c r="G81" i="2"/>
  <c r="H81" i="2"/>
  <c r="I81" i="2"/>
  <c r="J81" i="2"/>
  <c r="K81" i="2"/>
  <c r="C82" i="2"/>
  <c r="D82" i="2"/>
  <c r="E82" i="2"/>
  <c r="F82" i="2"/>
  <c r="G82" i="2"/>
  <c r="H82" i="2"/>
  <c r="I82" i="2"/>
  <c r="J82" i="2"/>
  <c r="K82" i="2"/>
  <c r="C83" i="2"/>
  <c r="D83" i="2"/>
  <c r="E83" i="2"/>
  <c r="F83" i="2"/>
  <c r="G83" i="2"/>
  <c r="H83" i="2"/>
  <c r="I83" i="2"/>
  <c r="J83" i="2"/>
  <c r="K83" i="2"/>
  <c r="C84" i="2"/>
  <c r="D84" i="2"/>
  <c r="E84" i="2"/>
  <c r="F84" i="2"/>
  <c r="G84" i="2"/>
  <c r="H84" i="2"/>
  <c r="I84" i="2"/>
  <c r="J84" i="2"/>
  <c r="K84" i="2"/>
  <c r="C85" i="2"/>
  <c r="D85" i="2"/>
  <c r="E85" i="2"/>
  <c r="F85" i="2"/>
  <c r="G85" i="2"/>
  <c r="H85" i="2"/>
  <c r="I85" i="2"/>
  <c r="J85" i="2"/>
  <c r="K85" i="2"/>
  <c r="C86" i="2"/>
  <c r="D86" i="2"/>
  <c r="E86" i="2"/>
  <c r="F86" i="2"/>
  <c r="G86" i="2"/>
  <c r="H86" i="2"/>
  <c r="I86" i="2"/>
  <c r="J86" i="2"/>
  <c r="K86" i="2"/>
  <c r="C87" i="2"/>
  <c r="D87" i="2"/>
  <c r="E87" i="2"/>
  <c r="F87" i="2"/>
  <c r="G87" i="2"/>
  <c r="H87" i="2"/>
  <c r="I87" i="2"/>
  <c r="J87" i="2"/>
  <c r="K87" i="2"/>
  <c r="C88" i="2"/>
  <c r="D88" i="2"/>
  <c r="E88" i="2"/>
  <c r="F88" i="2"/>
  <c r="G88" i="2"/>
  <c r="H88" i="2"/>
  <c r="I88" i="2"/>
  <c r="J88" i="2"/>
  <c r="K88" i="2"/>
  <c r="C89" i="2"/>
  <c r="D89" i="2"/>
  <c r="E89" i="2"/>
  <c r="F89" i="2"/>
  <c r="G89" i="2"/>
  <c r="H89" i="2"/>
  <c r="I89" i="2"/>
  <c r="J89" i="2"/>
  <c r="K89" i="2"/>
  <c r="C90" i="2"/>
  <c r="D90" i="2"/>
  <c r="E90" i="2"/>
  <c r="F90" i="2"/>
  <c r="G90" i="2"/>
  <c r="H90" i="2"/>
  <c r="I90" i="2"/>
  <c r="J90" i="2"/>
  <c r="K90" i="2"/>
  <c r="C91" i="2"/>
  <c r="D91" i="2"/>
  <c r="E91" i="2"/>
  <c r="F91" i="2"/>
  <c r="G91" i="2"/>
  <c r="H91" i="2"/>
  <c r="I91" i="2"/>
  <c r="J91" i="2"/>
  <c r="K91" i="2"/>
  <c r="C92" i="2"/>
  <c r="D92" i="2"/>
  <c r="E92" i="2"/>
  <c r="F92" i="2"/>
  <c r="G92" i="2"/>
  <c r="H92" i="2"/>
  <c r="I92" i="2"/>
  <c r="J92" i="2"/>
  <c r="K92" i="2"/>
  <c r="C93" i="2"/>
  <c r="D93" i="2"/>
  <c r="E93" i="2"/>
  <c r="F93" i="2"/>
  <c r="G93" i="2"/>
  <c r="H93" i="2"/>
  <c r="I93" i="2"/>
  <c r="J93" i="2"/>
  <c r="K93" i="2"/>
  <c r="C94" i="2"/>
  <c r="D94" i="2"/>
  <c r="E94" i="2"/>
  <c r="F94" i="2"/>
  <c r="G94" i="2"/>
  <c r="H94" i="2"/>
  <c r="I94" i="2"/>
  <c r="J94" i="2"/>
  <c r="K94" i="2"/>
  <c r="C95" i="2"/>
  <c r="D95" i="2"/>
  <c r="E95" i="2"/>
  <c r="F95" i="2"/>
  <c r="G95" i="2"/>
  <c r="H95" i="2"/>
  <c r="I95" i="2"/>
  <c r="J95" i="2"/>
  <c r="K95" i="2"/>
  <c r="C96" i="2"/>
  <c r="D96" i="2"/>
  <c r="E96" i="2"/>
  <c r="F96" i="2"/>
  <c r="G96" i="2"/>
  <c r="H96" i="2"/>
  <c r="I96" i="2"/>
  <c r="J96" i="2"/>
  <c r="K96" i="2"/>
  <c r="C97" i="2"/>
  <c r="D97" i="2"/>
  <c r="E97" i="2"/>
  <c r="F97" i="2"/>
  <c r="G97" i="2"/>
  <c r="H97" i="2"/>
  <c r="I97" i="2"/>
  <c r="J97" i="2"/>
  <c r="K97" i="2"/>
  <c r="C98" i="2"/>
  <c r="D98" i="2"/>
  <c r="E98" i="2"/>
  <c r="F98" i="2"/>
  <c r="G98" i="2"/>
  <c r="H98" i="2"/>
  <c r="I98" i="2"/>
  <c r="J98" i="2"/>
  <c r="K98" i="2"/>
  <c r="C99" i="2"/>
  <c r="D99" i="2"/>
  <c r="E99" i="2"/>
  <c r="F99" i="2"/>
  <c r="G99" i="2"/>
  <c r="H99" i="2"/>
  <c r="I99" i="2"/>
  <c r="J99" i="2"/>
  <c r="K99" i="2"/>
  <c r="C100" i="2"/>
  <c r="D100" i="2"/>
  <c r="E100" i="2"/>
  <c r="F100" i="2"/>
  <c r="G100" i="2"/>
  <c r="H100" i="2"/>
  <c r="I100" i="2"/>
  <c r="J100" i="2"/>
  <c r="K100" i="2"/>
  <c r="C101" i="2"/>
  <c r="D101" i="2"/>
  <c r="E101" i="2"/>
  <c r="F101" i="2"/>
  <c r="G101" i="2"/>
  <c r="H101" i="2"/>
  <c r="I101" i="2"/>
  <c r="J101" i="2"/>
  <c r="K101" i="2"/>
  <c r="C102" i="2"/>
  <c r="D102" i="2"/>
  <c r="E102" i="2"/>
  <c r="F102" i="2"/>
  <c r="G102" i="2"/>
  <c r="H102" i="2"/>
  <c r="I102" i="2"/>
  <c r="J102" i="2"/>
  <c r="K102" i="2"/>
  <c r="C103" i="2"/>
  <c r="D103" i="2"/>
  <c r="E103" i="2"/>
  <c r="F103" i="2"/>
  <c r="G103" i="2"/>
  <c r="H103" i="2"/>
  <c r="I103" i="2"/>
  <c r="J103" i="2"/>
  <c r="K103" i="2"/>
  <c r="C104" i="2"/>
  <c r="D104" i="2"/>
  <c r="E104" i="2"/>
  <c r="F104" i="2"/>
  <c r="G104" i="2"/>
  <c r="H104" i="2"/>
  <c r="I104" i="2"/>
  <c r="J104" i="2"/>
  <c r="K104" i="2"/>
  <c r="C105" i="2"/>
  <c r="D105" i="2"/>
  <c r="E105" i="2"/>
  <c r="F105" i="2"/>
  <c r="G105" i="2"/>
  <c r="H105" i="2"/>
  <c r="I105" i="2"/>
  <c r="J105" i="2"/>
  <c r="K105" i="2"/>
  <c r="C106" i="2"/>
  <c r="D106" i="2"/>
  <c r="E106" i="2"/>
  <c r="F106" i="2"/>
  <c r="G106" i="2"/>
  <c r="H106" i="2"/>
  <c r="I106" i="2"/>
  <c r="J106" i="2"/>
  <c r="K106" i="2"/>
  <c r="C107" i="2"/>
  <c r="D107" i="2"/>
  <c r="E107" i="2"/>
  <c r="F107" i="2"/>
  <c r="G107" i="2"/>
  <c r="H107" i="2"/>
  <c r="I107" i="2"/>
  <c r="J107" i="2"/>
  <c r="K107" i="2"/>
  <c r="C108" i="2"/>
  <c r="D108" i="2"/>
  <c r="E108" i="2"/>
  <c r="F108" i="2"/>
  <c r="G108" i="2"/>
  <c r="H108" i="2"/>
  <c r="I108" i="2"/>
  <c r="J108" i="2"/>
  <c r="K108" i="2"/>
  <c r="C109" i="2"/>
  <c r="D109" i="2"/>
  <c r="E109" i="2"/>
  <c r="F109" i="2"/>
  <c r="G109" i="2"/>
  <c r="H109" i="2"/>
  <c r="I109" i="2"/>
  <c r="J109" i="2"/>
  <c r="K109" i="2"/>
  <c r="C110" i="2"/>
  <c r="D110" i="2"/>
  <c r="E110" i="2"/>
  <c r="F110" i="2"/>
  <c r="G110" i="2"/>
  <c r="H110" i="2"/>
  <c r="I110" i="2"/>
  <c r="J110" i="2"/>
  <c r="K110" i="2"/>
  <c r="C111" i="2"/>
  <c r="D111" i="2"/>
  <c r="E111" i="2"/>
  <c r="F111" i="2"/>
  <c r="G111" i="2"/>
  <c r="H111" i="2"/>
  <c r="I111" i="2"/>
  <c r="J111" i="2"/>
  <c r="K111" i="2"/>
  <c r="C112" i="2"/>
  <c r="D112" i="2"/>
  <c r="E112" i="2"/>
  <c r="F112" i="2"/>
  <c r="G112" i="2"/>
  <c r="H112" i="2"/>
  <c r="I112" i="2"/>
  <c r="J112" i="2"/>
  <c r="K112" i="2"/>
  <c r="C113" i="2"/>
  <c r="D113" i="2"/>
  <c r="E113" i="2"/>
  <c r="F113" i="2"/>
  <c r="G113" i="2"/>
  <c r="H113" i="2"/>
  <c r="I113" i="2"/>
  <c r="J113" i="2"/>
  <c r="K113" i="2"/>
  <c r="C114" i="2"/>
  <c r="D114" i="2"/>
  <c r="E114" i="2"/>
  <c r="F114" i="2"/>
  <c r="G114" i="2"/>
  <c r="H114" i="2"/>
  <c r="I114" i="2"/>
  <c r="J114" i="2"/>
  <c r="K114" i="2"/>
  <c r="C115" i="2"/>
  <c r="D115" i="2"/>
  <c r="E115" i="2"/>
  <c r="F115" i="2"/>
  <c r="G115" i="2"/>
  <c r="H115" i="2"/>
  <c r="I115" i="2"/>
  <c r="J115" i="2"/>
  <c r="K115" i="2"/>
  <c r="C116" i="2"/>
  <c r="D116" i="2"/>
  <c r="E116" i="2"/>
  <c r="F116" i="2"/>
  <c r="G116" i="2"/>
  <c r="H116" i="2"/>
  <c r="I116" i="2"/>
  <c r="J116" i="2"/>
  <c r="K116" i="2"/>
  <c r="C117" i="2"/>
  <c r="D117" i="2"/>
  <c r="E117" i="2"/>
  <c r="F117" i="2"/>
  <c r="G117" i="2"/>
  <c r="H117" i="2"/>
  <c r="I117" i="2"/>
  <c r="J117" i="2"/>
  <c r="K117" i="2"/>
  <c r="C118" i="2"/>
  <c r="D118" i="2"/>
  <c r="E118" i="2"/>
  <c r="F118" i="2"/>
  <c r="G118" i="2"/>
  <c r="H118" i="2"/>
  <c r="I118" i="2"/>
  <c r="J118" i="2"/>
  <c r="K118" i="2"/>
  <c r="C119" i="2"/>
  <c r="D119" i="2"/>
  <c r="E119" i="2"/>
  <c r="F119" i="2"/>
  <c r="G119" i="2"/>
  <c r="H119" i="2"/>
  <c r="I119" i="2"/>
  <c r="J119" i="2"/>
  <c r="K119" i="2"/>
  <c r="C120" i="2"/>
  <c r="D120" i="2"/>
  <c r="E120" i="2"/>
  <c r="F120" i="2"/>
  <c r="G120" i="2"/>
  <c r="H120" i="2"/>
  <c r="I120" i="2"/>
  <c r="J120" i="2"/>
  <c r="K120" i="2"/>
  <c r="C121" i="2"/>
  <c r="D121" i="2"/>
  <c r="E121" i="2"/>
  <c r="F121" i="2"/>
  <c r="G121" i="2"/>
  <c r="H121" i="2"/>
  <c r="I121" i="2"/>
  <c r="J121" i="2"/>
  <c r="K121" i="2"/>
  <c r="C122" i="2"/>
  <c r="D122" i="2"/>
  <c r="E122" i="2"/>
  <c r="F122" i="2"/>
  <c r="G122" i="2"/>
  <c r="H122" i="2"/>
  <c r="I122" i="2"/>
  <c r="J122" i="2"/>
  <c r="K122" i="2"/>
  <c r="C123" i="2"/>
  <c r="D123" i="2"/>
  <c r="E123" i="2"/>
  <c r="F123" i="2"/>
  <c r="G123" i="2"/>
  <c r="H123" i="2"/>
  <c r="I123" i="2"/>
  <c r="J123" i="2"/>
  <c r="K123" i="2"/>
  <c r="C124" i="2"/>
  <c r="D124" i="2"/>
  <c r="E124" i="2"/>
  <c r="F124" i="2"/>
  <c r="G124" i="2"/>
  <c r="H124" i="2"/>
  <c r="I124" i="2"/>
  <c r="J124" i="2"/>
  <c r="K124" i="2"/>
  <c r="C125" i="2"/>
  <c r="D125" i="2"/>
  <c r="E125" i="2"/>
  <c r="F125" i="2"/>
  <c r="G125" i="2"/>
  <c r="H125" i="2"/>
  <c r="I125" i="2"/>
  <c r="J125" i="2"/>
  <c r="K125" i="2"/>
  <c r="C126" i="2"/>
  <c r="D126" i="2"/>
  <c r="E126" i="2"/>
  <c r="F126" i="2"/>
  <c r="G126" i="2"/>
  <c r="H126" i="2"/>
  <c r="I126" i="2"/>
  <c r="J126" i="2"/>
  <c r="K126" i="2"/>
  <c r="C127" i="2"/>
  <c r="D127" i="2"/>
  <c r="E127" i="2"/>
  <c r="F127" i="2"/>
  <c r="G127" i="2"/>
  <c r="H127" i="2"/>
  <c r="I127" i="2"/>
  <c r="J127" i="2"/>
  <c r="K127" i="2"/>
  <c r="C128" i="2"/>
  <c r="D128" i="2"/>
  <c r="E128" i="2"/>
  <c r="F128" i="2"/>
  <c r="G128" i="2"/>
  <c r="H128" i="2"/>
  <c r="I128" i="2"/>
  <c r="J128" i="2"/>
  <c r="K128" i="2"/>
  <c r="C129" i="2"/>
  <c r="D129" i="2"/>
  <c r="E129" i="2"/>
  <c r="F129" i="2"/>
  <c r="G129" i="2"/>
  <c r="H129" i="2"/>
  <c r="I129" i="2"/>
  <c r="J129" i="2"/>
  <c r="K129" i="2"/>
  <c r="C130" i="2"/>
  <c r="D130" i="2"/>
  <c r="E130" i="2"/>
  <c r="F130" i="2"/>
  <c r="G130" i="2"/>
  <c r="H130" i="2"/>
  <c r="I130" i="2"/>
  <c r="J130" i="2"/>
  <c r="K130" i="2"/>
  <c r="C131" i="2"/>
  <c r="D131" i="2"/>
  <c r="E131" i="2"/>
  <c r="F131" i="2"/>
  <c r="G131" i="2"/>
  <c r="H131" i="2"/>
  <c r="I131" i="2"/>
  <c r="J131" i="2"/>
  <c r="K131" i="2"/>
  <c r="C132" i="2"/>
  <c r="D132" i="2"/>
  <c r="E132" i="2"/>
  <c r="F132" i="2"/>
  <c r="G132" i="2"/>
  <c r="H132" i="2"/>
  <c r="I132" i="2"/>
  <c r="J132" i="2"/>
  <c r="K132" i="2"/>
  <c r="C133" i="2"/>
  <c r="D133" i="2"/>
  <c r="E133" i="2"/>
  <c r="F133" i="2"/>
  <c r="G133" i="2"/>
  <c r="H133" i="2"/>
  <c r="I133" i="2"/>
  <c r="J133" i="2"/>
  <c r="K133" i="2"/>
  <c r="C134" i="2"/>
  <c r="D134" i="2"/>
  <c r="E134" i="2"/>
  <c r="F134" i="2"/>
  <c r="G134" i="2"/>
  <c r="H134" i="2"/>
  <c r="I134" i="2"/>
  <c r="J134" i="2"/>
  <c r="K134" i="2"/>
  <c r="C135" i="2"/>
  <c r="D135" i="2"/>
  <c r="E135" i="2"/>
  <c r="F135" i="2"/>
  <c r="G135" i="2"/>
  <c r="H135" i="2"/>
  <c r="I135" i="2"/>
  <c r="J135" i="2"/>
  <c r="K135" i="2"/>
  <c r="C136" i="2"/>
  <c r="D136" i="2"/>
  <c r="E136" i="2"/>
  <c r="F136" i="2"/>
  <c r="G136" i="2"/>
  <c r="H136" i="2"/>
  <c r="I136" i="2"/>
  <c r="J136" i="2"/>
  <c r="K136" i="2"/>
  <c r="C137" i="2"/>
  <c r="D137" i="2"/>
  <c r="E137" i="2"/>
  <c r="F137" i="2"/>
  <c r="G137" i="2"/>
  <c r="H137" i="2"/>
  <c r="I137" i="2"/>
  <c r="J137" i="2"/>
  <c r="K137" i="2"/>
  <c r="C138" i="2"/>
  <c r="D138" i="2"/>
  <c r="E138" i="2"/>
  <c r="F138" i="2"/>
  <c r="G138" i="2"/>
  <c r="H138" i="2"/>
  <c r="I138" i="2"/>
  <c r="J138" i="2"/>
  <c r="K138" i="2"/>
  <c r="C139" i="2"/>
  <c r="D139" i="2"/>
  <c r="E139" i="2"/>
  <c r="F139" i="2"/>
  <c r="G139" i="2"/>
  <c r="H139" i="2"/>
  <c r="I139" i="2"/>
  <c r="J139" i="2"/>
  <c r="K139" i="2"/>
  <c r="C140" i="2"/>
  <c r="D140" i="2"/>
  <c r="E140" i="2"/>
  <c r="F140" i="2"/>
  <c r="G140" i="2"/>
  <c r="H140" i="2"/>
  <c r="I140" i="2"/>
  <c r="J140" i="2"/>
  <c r="K140" i="2"/>
  <c r="C141" i="2"/>
  <c r="D141" i="2"/>
  <c r="E141" i="2"/>
  <c r="F141" i="2"/>
  <c r="G141" i="2"/>
  <c r="H141" i="2"/>
  <c r="I141" i="2"/>
  <c r="J141" i="2"/>
  <c r="K141" i="2"/>
  <c r="C142" i="2"/>
  <c r="D142" i="2"/>
  <c r="E142" i="2"/>
  <c r="F142" i="2"/>
  <c r="G142" i="2"/>
  <c r="H142" i="2"/>
  <c r="I142" i="2"/>
  <c r="J142" i="2"/>
  <c r="K142" i="2"/>
  <c r="C20" i="2"/>
  <c r="D20" i="2"/>
  <c r="E20" i="2"/>
  <c r="F20" i="2"/>
  <c r="G20" i="2"/>
  <c r="H20" i="2"/>
  <c r="I20" i="2"/>
  <c r="J20" i="2"/>
  <c r="K20" i="2"/>
  <c r="D17" i="2"/>
  <c r="C15" i="2"/>
  <c r="F16" i="2"/>
  <c r="F19" i="2"/>
  <c r="D19" i="2"/>
  <c r="H12" i="2"/>
  <c r="J17" i="2"/>
  <c r="J19" i="2"/>
  <c r="K18" i="2"/>
  <c r="E15" i="2"/>
  <c r="K17" i="2"/>
  <c r="E17" i="2"/>
  <c r="G14" i="2"/>
  <c r="I18" i="2"/>
  <c r="F17" i="2"/>
  <c r="D15" i="2"/>
  <c r="E11" i="2"/>
  <c r="K16" i="2"/>
  <c r="I17" i="2"/>
  <c r="D14" i="2"/>
  <c r="K19" i="2"/>
  <c r="C19" i="2"/>
  <c r="I12" i="2"/>
  <c r="H17" i="2"/>
  <c r="G19" i="2"/>
  <c r="J16" i="2"/>
  <c r="I11" i="2"/>
  <c r="C13" i="2"/>
  <c r="F18" i="2"/>
  <c r="E18" i="2"/>
  <c r="K15" i="2"/>
  <c r="G18" i="2"/>
  <c r="K11" i="2"/>
  <c r="G12" i="2"/>
  <c r="F13" i="2"/>
  <c r="I14" i="2"/>
  <c r="D18" i="2"/>
  <c r="K12" i="2"/>
  <c r="D13" i="2"/>
  <c r="F12" i="2"/>
  <c r="E16" i="2"/>
  <c r="E14" i="2"/>
  <c r="C17" i="2"/>
  <c r="D16" i="2"/>
  <c r="G11" i="2"/>
  <c r="I19" i="2"/>
  <c r="C16" i="2"/>
  <c r="G13" i="2"/>
  <c r="J15" i="2"/>
  <c r="K14" i="2"/>
  <c r="J12" i="2"/>
  <c r="I15" i="2"/>
  <c r="K13" i="2"/>
  <c r="I13" i="2"/>
  <c r="F15" i="2"/>
  <c r="G15" i="2"/>
  <c r="H13" i="2"/>
  <c r="E12" i="2"/>
  <c r="H16" i="2"/>
  <c r="H15" i="2"/>
  <c r="D11" i="2"/>
  <c r="C18" i="2"/>
  <c r="G16" i="2"/>
  <c r="E19" i="2"/>
  <c r="J11" i="2"/>
  <c r="D12" i="2"/>
  <c r="H18" i="2"/>
  <c r="J18" i="2"/>
  <c r="J13" i="2"/>
  <c r="F11" i="2"/>
  <c r="C14" i="2"/>
  <c r="I16" i="2"/>
  <c r="H11" i="2"/>
  <c r="C12" i="2"/>
  <c r="H14" i="2"/>
  <c r="C11" i="2"/>
  <c r="G17" i="2"/>
  <c r="F14" i="2"/>
  <c r="E13" i="2"/>
  <c r="J14" i="2"/>
  <c r="H19" i="2"/>
  <c r="C10" i="2"/>
  <c r="F10" i="2"/>
  <c r="G10" i="2"/>
  <c r="K10" i="2"/>
  <c r="H10" i="2"/>
  <c r="I10" i="2"/>
  <c r="J10" i="2"/>
  <c r="E10" i="2"/>
  <c r="D10" i="2"/>
  <c r="C143" i="2" l="1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I17" i="1"/>
  <c r="I19" i="1"/>
  <c r="I20" i="1"/>
  <c r="I21" i="1"/>
  <c r="I22" i="1"/>
  <c r="I23" i="1"/>
  <c r="I24" i="1"/>
  <c r="I25" i="1"/>
  <c r="I26" i="1"/>
  <c r="I27" i="1"/>
  <c r="I28" i="1"/>
  <c r="I29" i="1"/>
  <c r="I30" i="1"/>
  <c r="G17" i="1"/>
  <c r="G19" i="1"/>
  <c r="G20" i="1"/>
  <c r="G21" i="1"/>
  <c r="G22" i="1"/>
  <c r="G23" i="1"/>
  <c r="G24" i="1"/>
  <c r="G25" i="1"/>
  <c r="G26" i="1"/>
  <c r="G27" i="1"/>
  <c r="G28" i="1"/>
  <c r="G29" i="1"/>
  <c r="G30" i="1"/>
  <c r="F17" i="1"/>
  <c r="M11" i="3" s="1"/>
  <c r="F19" i="1"/>
  <c r="M13" i="3" s="1"/>
  <c r="F20" i="1"/>
  <c r="M14" i="3" s="1"/>
  <c r="F21" i="1"/>
  <c r="M15" i="3" s="1"/>
  <c r="F22" i="1"/>
  <c r="M16" i="3" s="1"/>
  <c r="F23" i="1"/>
  <c r="M17" i="3" s="1"/>
  <c r="F24" i="1"/>
  <c r="M18" i="3" s="1"/>
  <c r="F25" i="1"/>
  <c r="M19" i="3" s="1"/>
  <c r="F26" i="1"/>
  <c r="M20" i="3" s="1"/>
  <c r="F27" i="1"/>
  <c r="M21" i="3" s="1"/>
  <c r="F28" i="1"/>
  <c r="M22" i="3" s="1"/>
  <c r="F29" i="1"/>
  <c r="M23" i="3" s="1"/>
  <c r="F30" i="1"/>
  <c r="M24" i="3" s="1"/>
  <c r="F18" i="1"/>
  <c r="M12" i="3" s="1"/>
  <c r="G18" i="1"/>
  <c r="G16" i="1"/>
  <c r="F16" i="1"/>
  <c r="F15" i="1"/>
  <c r="G15" i="1"/>
  <c r="F13" i="1"/>
  <c r="F14" i="1"/>
  <c r="F11" i="1"/>
  <c r="F12" i="1"/>
  <c r="G13" i="1"/>
  <c r="G11" i="1"/>
  <c r="G12" i="1"/>
  <c r="G14" i="1"/>
  <c r="H15" i="1" l="1"/>
  <c r="M9" i="3"/>
  <c r="H16" i="1"/>
  <c r="M10" i="3"/>
  <c r="K14" i="1"/>
  <c r="H14" i="1"/>
  <c r="I14" i="1" s="1"/>
  <c r="M8" i="3"/>
  <c r="M6" i="3"/>
  <c r="M7" i="3"/>
  <c r="M5" i="3"/>
  <c r="H25" i="1"/>
  <c r="J25" i="1"/>
  <c r="H21" i="1"/>
  <c r="J21" i="1"/>
  <c r="H29" i="1"/>
  <c r="J29" i="1"/>
  <c r="H28" i="1"/>
  <c r="J28" i="1"/>
  <c r="H24" i="1"/>
  <c r="J24" i="1"/>
  <c r="H20" i="1"/>
  <c r="J20" i="1"/>
  <c r="H27" i="1"/>
  <c r="J27" i="1"/>
  <c r="H23" i="1"/>
  <c r="J23" i="1"/>
  <c r="H19" i="1"/>
  <c r="J19" i="1"/>
  <c r="H18" i="1"/>
  <c r="J18" i="1"/>
  <c r="H30" i="1"/>
  <c r="J30" i="1"/>
  <c r="H26" i="1"/>
  <c r="J26" i="1"/>
  <c r="H22" i="1"/>
  <c r="J22" i="1"/>
  <c r="H17" i="1"/>
  <c r="J17" i="1"/>
  <c r="H13" i="1"/>
  <c r="I13" i="1" s="1"/>
  <c r="H12" i="1"/>
  <c r="I12" i="1" s="1"/>
  <c r="H11" i="1"/>
  <c r="J14" i="1"/>
  <c r="J15" i="1"/>
  <c r="K12" i="1"/>
  <c r="K16" i="1"/>
  <c r="J16" i="1"/>
  <c r="I16" i="1"/>
  <c r="I15" i="1"/>
  <c r="K15" i="1"/>
  <c r="J13" i="1"/>
  <c r="K11" i="1"/>
  <c r="J12" i="1"/>
  <c r="I18" i="1"/>
  <c r="D7" i="1" l="1"/>
  <c r="E7" i="1"/>
  <c r="J31" i="1"/>
  <c r="K31" i="1"/>
  <c r="I11" i="1"/>
  <c r="H31" i="1"/>
  <c r="M30" i="3"/>
  <c r="D15" i="5"/>
  <c r="C15" i="5"/>
  <c r="F7" i="1" l="1"/>
  <c r="G7" i="1" s="1"/>
  <c r="I31" i="1"/>
  <c r="N10" i="3"/>
  <c r="N14" i="3"/>
  <c r="N18" i="3"/>
  <c r="N22" i="3"/>
  <c r="N26" i="3"/>
  <c r="N11" i="3"/>
  <c r="N15" i="3"/>
  <c r="N19" i="3"/>
  <c r="N23" i="3"/>
  <c r="N8" i="3"/>
  <c r="N12" i="3"/>
  <c r="N16" i="3"/>
  <c r="N20" i="3"/>
  <c r="N24" i="3"/>
  <c r="N28" i="3"/>
  <c r="N27" i="3"/>
  <c r="N9" i="3"/>
  <c r="N13" i="3"/>
  <c r="N17" i="3"/>
  <c r="N21" i="3"/>
  <c r="N25" i="3"/>
  <c r="N29" i="3"/>
  <c r="N6" i="3"/>
  <c r="N7" i="3"/>
  <c r="N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10" name="Conexão" type="4" refreshedVersion="6" background="1" saveData="1">
    <webPr sourceData="1" parsePre="1" consecutive="1" xl2000="1" url="http://www.tesouro.fazenda.gov.br/tesouro-direto-precos-e-taxas-dos-titulos" htmlTables="1"/>
  </connection>
</connections>
</file>

<file path=xl/sharedStrings.xml><?xml version="1.0" encoding="utf-8"?>
<sst xmlns="http://schemas.openxmlformats.org/spreadsheetml/2006/main" count="168" uniqueCount="126">
  <si>
    <t xml:space="preserve">Ação </t>
  </si>
  <si>
    <t>Quantidade</t>
  </si>
  <si>
    <t>Preço Atual</t>
  </si>
  <si>
    <t>Variação (%)</t>
  </si>
  <si>
    <t>L/P (%)</t>
  </si>
  <si>
    <t>vale5</t>
  </si>
  <si>
    <t>Ativo</t>
  </si>
  <si>
    <t>Empresa</t>
  </si>
  <si>
    <t>Bolsa</t>
  </si>
  <si>
    <t>Mercado</t>
  </si>
  <si>
    <t>Descrição</t>
  </si>
  <si>
    <t>Último Preço</t>
  </si>
  <si>
    <t>Qtd. Máxima</t>
  </si>
  <si>
    <t>Oscilação (Spread)</t>
  </si>
  <si>
    <t>Total Aplicado</t>
  </si>
  <si>
    <t>Total Hoje</t>
  </si>
  <si>
    <t>L/P (R$)</t>
  </si>
  <si>
    <t>Aplicado</t>
  </si>
  <si>
    <t>hoje</t>
  </si>
  <si>
    <t>itsa4</t>
  </si>
  <si>
    <t>Qtd. Mínima</t>
  </si>
  <si>
    <t>Menor Fração de Preço</t>
  </si>
  <si>
    <t>Multiplicador de Volume</t>
  </si>
  <si>
    <t>Denominador de Volume</t>
  </si>
  <si>
    <t>Data/Hora de Vencimento</t>
  </si>
  <si>
    <t xml:space="preserve">Status </t>
  </si>
  <si>
    <t>Última Qtd.</t>
  </si>
  <si>
    <t>Data/Hora do Último Negócio</t>
  </si>
  <si>
    <t>Oscilação(%)</t>
  </si>
  <si>
    <t>Preço Melhor Venda</t>
  </si>
  <si>
    <t>Qtd. Melhor Venda</t>
  </si>
  <si>
    <t>Preço Melhor Compra</t>
  </si>
  <si>
    <t>Qtd. Melhor Compra</t>
  </si>
  <si>
    <t>Data/Hora do Fechamento Anterior</t>
  </si>
  <si>
    <t>Último Preço de Fechamento</t>
  </si>
  <si>
    <t>Preço de Abertura</t>
  </si>
  <si>
    <t>Preço Máximo</t>
  </si>
  <si>
    <t>Preço Mínimo</t>
  </si>
  <si>
    <t xml:space="preserve">Número de Negócios </t>
  </si>
  <si>
    <t>Qtd. Negociada</t>
  </si>
  <si>
    <t>Volume</t>
  </si>
  <si>
    <t>Preço Médio</t>
  </si>
  <si>
    <t>Preço Teórico</t>
  </si>
  <si>
    <t>Qtd. Teórica</t>
  </si>
  <si>
    <t xml:space="preserve">Oscilação Teórica (%) </t>
  </si>
  <si>
    <t>Date/Hora Teórica</t>
  </si>
  <si>
    <t>Planilha RTD (Real Time Data)</t>
  </si>
  <si>
    <t>Atendimento Rico</t>
  </si>
  <si>
    <t>3003-5465</t>
  </si>
  <si>
    <t>atendimento@rico.com.vc</t>
  </si>
  <si>
    <t>Orientações:</t>
  </si>
  <si>
    <t xml:space="preserve">1º Faça o download e a instalação do aplicativo RTD, você pode baixa-lo em </t>
  </si>
  <si>
    <t>RTD (Real Time Data)</t>
  </si>
  <si>
    <t>3º Use essa planilha para acompanhar as cotações</t>
  </si>
  <si>
    <t>Através da planilha você personaliza suas análises com informações, realiza cálculos de maneira simples para tomada de decisão, calcula lucro e perda nas operações, controla o risco, entre outras funcionalidades disponíveis</t>
  </si>
  <si>
    <t>Comprado</t>
  </si>
  <si>
    <t>Vendido</t>
  </si>
  <si>
    <t>Posição</t>
  </si>
  <si>
    <t>Preço de Entrada</t>
  </si>
  <si>
    <t>bbas3</t>
  </si>
  <si>
    <t>Posição de Custódia</t>
  </si>
  <si>
    <t>Relatórios de Posição</t>
  </si>
  <si>
    <t>Acompanhamento de Mercado</t>
  </si>
  <si>
    <t>Data</t>
  </si>
  <si>
    <t>Resultado</t>
  </si>
  <si>
    <t>Ações</t>
  </si>
  <si>
    <t>Opções</t>
  </si>
  <si>
    <t>petr4</t>
  </si>
  <si>
    <t>Mini Índice</t>
  </si>
  <si>
    <t>Mini Dólar</t>
  </si>
  <si>
    <t>Índice</t>
  </si>
  <si>
    <t>Dólar</t>
  </si>
  <si>
    <t>A Rico RTD (Real Time Data) é um programa gratuito que permite o cliente Rico importar dados em tempo real do Home Broker para uma planilha excel.</t>
  </si>
  <si>
    <t>IR Operações Day Trade</t>
  </si>
  <si>
    <t>Prejuízo a Compensar</t>
  </si>
  <si>
    <t>Lucro/Prejuízo</t>
  </si>
  <si>
    <t>IRRF</t>
  </si>
  <si>
    <t>Imposto a Pagar/Compensar</t>
  </si>
  <si>
    <t>Custo</t>
  </si>
  <si>
    <t>Corretagem</t>
  </si>
  <si>
    <t>2º Execute o aplicativo como Administrador</t>
  </si>
  <si>
    <t>Investir</t>
  </si>
  <si>
    <t>Mercado Aberto</t>
  </si>
  <si>
    <t>9h30min às 18h</t>
  </si>
  <si>
    <t>Preços e taxas dos títulos públicos disponíveis para investir</t>
  </si>
  <si>
    <t>Título</t>
  </si>
  <si>
    <t>Vencimento</t>
  </si>
  <si>
    <t>Taxa de Rendimento (% a.a.)</t>
  </si>
  <si>
    <t>Valor Mínimo</t>
  </si>
  <si>
    <t>Preço Unitário</t>
  </si>
  <si>
    <t>Indexados ao IPCA</t>
  </si>
  <si>
    <t>Tesouro IPCA+ 2024 (NTNB Princ)</t>
  </si>
  <si>
    <t>Tesouro IPCA+ 2035 (NTNB Princ)</t>
  </si>
  <si>
    <t>Tesouro IPCA+ 2045 (NTNB Princ)</t>
  </si>
  <si>
    <t>Tesouro IPCA+ com Juros Semestrais 2026 (NTNB)</t>
  </si>
  <si>
    <t>Tesouro IPCA+ com Juros Semestrais 2035 (NTNB)</t>
  </si>
  <si>
    <t>Tesouro IPCA+ com Juros Semestrais 2050 (NTNB)</t>
  </si>
  <si>
    <t>Prefixados</t>
  </si>
  <si>
    <t>Tesouro Prefixado 2020 (LTN)</t>
  </si>
  <si>
    <t>Tesouro Prefixado 2023 (LTN)</t>
  </si>
  <si>
    <t>Tesouro Prefixado com Juros Semestrais 2027 (NTNF)</t>
  </si>
  <si>
    <t>Indexados à Taxa Selic</t>
  </si>
  <si>
    <t>Tesouro Selic 2023 (LFT)</t>
  </si>
  <si>
    <t>Resgatar</t>
  </si>
  <si>
    <t>Preços e taxas dos títulos públicos disponíveis para resgatar</t>
  </si>
  <si>
    <t>Tesouro IPCA+ 2019 (NTNB Princ)</t>
  </si>
  <si>
    <t>Tesouro IPCA+ com Juros Semestrais 2020 (NTNB)</t>
  </si>
  <si>
    <t>Tesouro IPCA+ com Juros Semestrais 2024 (NTNB)</t>
  </si>
  <si>
    <t>Tesouro IPCA+ com Juros Semestrais 2045 (NTNB)</t>
  </si>
  <si>
    <t>Tesouro Prefixado 2018 (LTN)</t>
  </si>
  <si>
    <t>Tesouro Prefixado 2019 (LTN)</t>
  </si>
  <si>
    <t>Tesouro Prefixado 2021 (LTN)</t>
  </si>
  <si>
    <t>Tesouro Prefixado com Juros Semestrais 2021 (NTNF)</t>
  </si>
  <si>
    <t>Tesouro Prefixado com Juros Semestrais 2023 (NTNF)</t>
  </si>
  <si>
    <t>Tesouro Prefixado com Juros Semestrais 2025 (NTNF)</t>
  </si>
  <si>
    <t>Tesouro Selic 2021 (LFT)</t>
  </si>
  <si>
    <t>Indexados ao IGP-M</t>
  </si>
  <si>
    <t>Tesouro IGPM+ com Juros Semestrais 2017 (NTNC)</t>
  </si>
  <si>
    <t>Tesouro IGPM+ com Juros Semestrais 2021 (NTNC)</t>
  </si>
  <si>
    <t>Tesouro IGPM+ com Juros Semestrais 2031 (NTNC)</t>
  </si>
  <si>
    <t>RAIL3</t>
  </si>
  <si>
    <t>Renda Variável</t>
  </si>
  <si>
    <t>Tesouro Direto</t>
  </si>
  <si>
    <t>Total</t>
  </si>
  <si>
    <t>Atual</t>
  </si>
  <si>
    <t>Valor Aplicado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</si>
</sst>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#,##0.00;[Red]\-&quot;R$&quot;#,##0.00"/>
    <numFmt numFmtId="165" formatCode="0.00_ ;[Red]\-0.00\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6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3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rgb="FFFF4C00"/>
      <name val="Calibri"/>
      <family val="2"/>
      <scheme val="minor"/>
    </font>
    <font>
      <sz val="11"/>
      <color rgb="FFFF4C00"/>
      <name val="Calibri"/>
      <family val="2"/>
      <scheme val="minor"/>
    </font>
    <font>
      <b/>
      <sz val="26"/>
      <color rgb="FF09286E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09286E"/>
      <name val="Calibri"/>
      <family val="2"/>
      <scheme val="minor"/>
    </font>
    <font>
      <b/>
      <sz val="24"/>
      <color rgb="FF09286E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09286E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rgb="FFFF4C00"/>
      </right>
      <top/>
      <bottom/>
      <diagonal/>
    </border>
    <border>
      <left/>
      <right/>
      <top/>
      <bottom style="thick">
        <color rgb="FFFF4C00"/>
      </bottom>
      <diagonal/>
    </border>
    <border>
      <left/>
      <right style="thick">
        <color rgb="FFFF4C00"/>
      </right>
      <top/>
      <bottom style="thick">
        <color rgb="FFFF4C0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75">
    <xf numFmtId="0" fontId="0" fillId="0" borderId="0" xfId="0"/>
    <xf numFmtId="44" fontId="0" fillId="0" borderId="0" xfId="1" applyFont="1"/>
    <xf numFmtId="10" fontId="0" fillId="0" borderId="0" xfId="2" applyNumberFormat="1" applyFont="1"/>
    <xf numFmtId="44" fontId="0" fillId="0" borderId="0" xfId="0" applyNumberFormat="1"/>
    <xf numFmtId="3" fontId="0" fillId="0" borderId="0" xfId="0" applyNumberFormat="1"/>
    <xf numFmtId="0" fontId="4" fillId="0" borderId="0" xfId="0" applyFont="1"/>
    <xf numFmtId="14" fontId="0" fillId="0" borderId="0" xfId="0" applyNumberFormat="1"/>
    <xf numFmtId="8" fontId="0" fillId="0" borderId="0" xfId="0" applyNumberFormat="1"/>
    <xf numFmtId="0" fontId="0" fillId="0" borderId="0" xfId="0" applyProtection="1">
      <protection hidden="1"/>
    </xf>
    <xf numFmtId="0" fontId="3" fillId="0" borderId="0" xfId="3" applyProtection="1">
      <protection hidden="1"/>
    </xf>
    <xf numFmtId="0" fontId="7" fillId="0" borderId="0" xfId="0" applyFont="1" applyProtection="1">
      <protection hidden="1"/>
    </xf>
    <xf numFmtId="0" fontId="2" fillId="2" borderId="0" xfId="0" applyFont="1" applyFill="1" applyProtection="1">
      <protection hidden="1"/>
    </xf>
    <xf numFmtId="8" fontId="0" fillId="0" borderId="0" xfId="1" applyNumberFormat="1" applyFont="1" applyProtection="1">
      <protection hidden="1"/>
    </xf>
    <xf numFmtId="165" fontId="0" fillId="0" borderId="0" xfId="2" applyNumberFormat="1" applyFont="1" applyProtection="1">
      <protection hidden="1"/>
    </xf>
    <xf numFmtId="44" fontId="0" fillId="0" borderId="1" xfId="0" applyNumberFormat="1" applyBorder="1" applyProtection="1">
      <protection hidden="1"/>
    </xf>
    <xf numFmtId="44" fontId="0" fillId="0" borderId="1" xfId="1" applyFont="1" applyBorder="1" applyProtection="1">
      <protection hidden="1"/>
    </xf>
    <xf numFmtId="8" fontId="0" fillId="0" borderId="1" xfId="1" applyNumberFormat="1" applyFont="1" applyBorder="1" applyProtection="1">
      <protection hidden="1"/>
    </xf>
    <xf numFmtId="165" fontId="0" fillId="0" borderId="1" xfId="2" applyNumberFormat="1" applyFont="1" applyBorder="1" applyProtection="1">
      <protection hidden="1"/>
    </xf>
    <xf numFmtId="3" fontId="0" fillId="0" borderId="0" xfId="0" applyNumberFormat="1" applyProtection="1">
      <protection hidden="1"/>
    </xf>
    <xf numFmtId="44" fontId="0" fillId="0" borderId="0" xfId="1" applyFont="1" applyProtection="1">
      <protection hidden="1"/>
    </xf>
    <xf numFmtId="10" fontId="0" fillId="0" borderId="0" xfId="2" applyNumberFormat="1" applyFont="1" applyProtection="1">
      <protection hidden="1"/>
    </xf>
    <xf numFmtId="0" fontId="0" fillId="0" borderId="1" xfId="0" applyBorder="1" applyProtection="1">
      <protection hidden="1"/>
    </xf>
    <xf numFmtId="3" fontId="0" fillId="0" borderId="1" xfId="0" applyNumberFormat="1" applyBorder="1" applyProtection="1">
      <protection hidden="1"/>
    </xf>
    <xf numFmtId="44" fontId="0" fillId="0" borderId="0" xfId="0" applyNumberFormat="1" applyProtection="1">
      <protection hidden="1"/>
    </xf>
    <xf numFmtId="9" fontId="0" fillId="0" borderId="0" xfId="2" applyFont="1"/>
    <xf numFmtId="16" fontId="0" fillId="0" borderId="0" xfId="0" applyNumberFormat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44" fontId="0" fillId="0" borderId="1" xfId="1" applyFont="1" applyBorder="1"/>
    <xf numFmtId="8" fontId="0" fillId="0" borderId="1" xfId="1" applyNumberFormat="1" applyFont="1" applyBorder="1"/>
    <xf numFmtId="8" fontId="0" fillId="0" borderId="0" xfId="1" applyNumberFormat="1" applyFont="1"/>
    <xf numFmtId="8" fontId="9" fillId="0" borderId="0" xfId="1" applyNumberFormat="1" applyFont="1" applyProtection="1">
      <protection hidden="1"/>
    </xf>
    <xf numFmtId="165" fontId="9" fillId="0" borderId="0" xfId="2" applyNumberFormat="1" applyFont="1" applyProtection="1">
      <protection hidden="1"/>
    </xf>
    <xf numFmtId="0" fontId="8" fillId="0" borderId="0" xfId="0" applyFont="1" applyProtection="1">
      <protection hidden="1"/>
    </xf>
    <xf numFmtId="0" fontId="8" fillId="0" borderId="1" xfId="0" applyFont="1" applyBorder="1" applyProtection="1">
      <protection hidden="1"/>
    </xf>
    <xf numFmtId="3" fontId="8" fillId="0" borderId="1" xfId="0" applyNumberFormat="1" applyFont="1" applyBorder="1" applyProtection="1">
      <protection hidden="1"/>
    </xf>
    <xf numFmtId="44" fontId="8" fillId="0" borderId="1" xfId="1" applyFont="1" applyBorder="1" applyProtection="1">
      <protection hidden="1"/>
    </xf>
    <xf numFmtId="165" fontId="8" fillId="0" borderId="1" xfId="2" applyNumberFormat="1" applyFont="1" applyBorder="1" applyProtection="1">
      <protection hidden="1"/>
    </xf>
    <xf numFmtId="8" fontId="8" fillId="0" borderId="1" xfId="1" applyNumberFormat="1" applyFont="1" applyBorder="1" applyProtection="1">
      <protection hidden="1"/>
    </xf>
    <xf numFmtId="44" fontId="8" fillId="0" borderId="0" xfId="0" applyNumberFormat="1" applyFont="1" applyProtection="1">
      <protection hidden="1"/>
    </xf>
    <xf numFmtId="44" fontId="9" fillId="0" borderId="0" xfId="1" applyFont="1" applyProtection="1">
      <protection hidden="1"/>
    </xf>
    <xf numFmtId="0" fontId="9" fillId="0" borderId="5" xfId="0" applyFont="1" applyBorder="1" applyProtection="1">
      <protection hidden="1"/>
    </xf>
    <xf numFmtId="44" fontId="9" fillId="0" borderId="5" xfId="0" applyNumberFormat="1" applyFont="1" applyBorder="1" applyProtection="1">
      <protection hidden="1"/>
    </xf>
    <xf numFmtId="164" fontId="0" fillId="0" borderId="0" xfId="0" applyNumberFormat="1"/>
    <xf numFmtId="0" fontId="10" fillId="0" borderId="0" xfId="0" applyFont="1" applyProtection="1">
      <protection hidden="1"/>
    </xf>
    <xf numFmtId="165" fontId="11" fillId="0" borderId="1" xfId="2" applyNumberFormat="1" applyFont="1" applyBorder="1" applyProtection="1">
      <protection hidden="1"/>
    </xf>
    <xf numFmtId="0" fontId="13" fillId="3" borderId="4" xfId="0" applyFont="1" applyFill="1" applyBorder="1" applyProtection="1">
      <protection hidden="1"/>
    </xf>
    <xf numFmtId="0" fontId="14" fillId="0" borderId="0" xfId="0" applyFont="1" applyProtection="1">
      <protection hidden="1"/>
    </xf>
    <xf numFmtId="0" fontId="15" fillId="0" borderId="0" xfId="0" applyFont="1" applyProtection="1">
      <protection hidden="1"/>
    </xf>
    <xf numFmtId="0" fontId="6" fillId="3" borderId="1" xfId="0" applyFont="1" applyFill="1" applyBorder="1" applyProtection="1">
      <protection hidden="1"/>
    </xf>
    <xf numFmtId="44" fontId="6" fillId="3" borderId="1" xfId="1" applyFont="1" applyFill="1" applyBorder="1" applyProtection="1">
      <protection hidden="1"/>
    </xf>
    <xf numFmtId="165" fontId="6" fillId="3" borderId="1" xfId="2" applyNumberFormat="1" applyFont="1" applyFill="1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8" fontId="16" fillId="4" borderId="0" xfId="1" applyNumberFormat="1" applyFont="1" applyFill="1" applyAlignment="1">
      <alignment horizontal="left" indent="1"/>
    </xf>
    <xf numFmtId="0" fontId="16" fillId="4" borderId="0" xfId="0" applyFont="1" applyFill="1" applyAlignment="1">
      <alignment horizontal="left" indent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13" fillId="3" borderId="1" xfId="0" applyFont="1" applyFill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3" xfId="0" applyFont="1" applyFill="1" applyBorder="1" applyAlignment="1" applyProtection="1">
      <alignment horizontal="center"/>
      <protection hidden="1"/>
    </xf>
    <xf numFmtId="0" fontId="8" fillId="0" borderId="2" xfId="0" applyFont="1" applyBorder="1" applyAlignment="1" applyProtection="1">
      <alignment horizontal="center"/>
      <protection hidden="1"/>
    </xf>
    <xf numFmtId="0" fontId="8" fillId="0" borderId="3" xfId="0" applyFont="1" applyBorder="1" applyAlignment="1" applyProtection="1">
      <alignment horizontal="center"/>
      <protection hidden="1"/>
    </xf>
    <xf numFmtId="0" fontId="8" fillId="0" borderId="4" xfId="0" applyFont="1" applyBorder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0" fontId="12" fillId="0" borderId="0" xfId="0" applyFont="1" applyAlignment="1" applyProtection="1">
      <alignment horizontal="center"/>
      <protection hidden="1"/>
    </xf>
    <xf numFmtId="8" fontId="12" fillId="0" borderId="0" xfId="1" applyNumberFormat="1" applyFont="1" applyAlignment="1" applyProtection="1">
      <alignment horizontal="center"/>
      <protection hidden="1"/>
    </xf>
    <xf numFmtId="8" fontId="6" fillId="3" borderId="1" xfId="1" applyNumberFormat="1" applyFont="1" applyFill="1" applyBorder="1" applyAlignment="1" applyProtection="1">
      <alignment horizontal="left"/>
      <protection hidden="1"/>
    </xf>
    <xf numFmtId="0" fontId="6" fillId="3" borderId="1" xfId="0" applyFont="1" applyFill="1" applyBorder="1" applyAlignment="1" applyProtection="1">
      <alignment horizontal="left"/>
      <protection hidden="1"/>
    </xf>
    <xf numFmtId="44" fontId="6" fillId="3" borderId="1" xfId="1" applyFont="1" applyFill="1" applyBorder="1" applyAlignment="1" applyProtection="1">
      <alignment horizontal="left"/>
      <protection hidden="1"/>
    </xf>
    <xf numFmtId="165" fontId="6" fillId="3" borderId="1" xfId="2" applyNumberFormat="1" applyFont="1" applyFill="1" applyBorder="1" applyAlignment="1" applyProtection="1">
      <alignment horizontal="left"/>
      <protection hidden="1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F4C00"/>
      <color rgb="FF0928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 t="s">
        <v>-</v>
        <stp/>
        <stp>RAIL3</stp>
        <stp>60</stp>
        <tr r="G14" s="1"/>
      </tp>
      <tp t="s">
        <v>-</v>
        <stp/>
        <stp>RAIL3</stp>
        <stp>56</stp>
        <tr r="F14" s="1"/>
      </tp>
      <tp t="s">
        <v>-</v>
        <stp/>
        <stp>petr4</stp>
        <stp>60</stp>
        <tr r="G13" s="1"/>
      </tp>
      <tp t="s">
        <v>-</v>
        <stp/>
        <stp>petr4</stp>
        <stp>56</stp>
        <tr r="F13" s="1"/>
      </tp>
      <tp t="s">
        <v>-</v>
        <stp/>
        <stp>vale5</stp>
        <stp>61</stp>
        <tr r="G10" s="2"/>
      </tp>
      <tp t="s">
        <v>-</v>
        <stp/>
        <stp>vale5</stp>
        <stp>60</stp>
        <tr r="E10" s="2"/>
      </tp>
      <tp t="s">
        <v>-</v>
        <stp/>
        <stp>vale5</stp>
        <stp>64</stp>
        <tr r="H10" s="2"/>
      </tp>
      <tp t="s">
        <v>-</v>
        <stp/>
        <stp>vale5</stp>
        <stp>73</stp>
        <tr r="K10" s="2"/>
      </tp>
      <tp t="s">
        <v>-</v>
        <stp/>
        <stp>vale5</stp>
        <stp>71</stp>
        <tr r="J10" s="2"/>
      </tp>
      <tp t="s">
        <v>-</v>
        <stp/>
        <stp>vale5</stp>
        <stp>70</stp>
        <tr r="I10" s="2"/>
      </tp>
      <tp t="s">
        <v>-</v>
        <stp/>
        <stp>vale5</stp>
        <stp>56</stp>
        <tr r="D10" s="2"/>
      </tp>
      <tp t="s">
        <v>-</v>
        <stp/>
        <stp>vale5</stp>
        <stp>23</stp>
        <tr r="C10" s="2"/>
      </tp>
      <tp t="s">
        <v>-</v>
        <stp/>
        <stp>vale5</stp>
        <stp>31</stp>
        <tr r="F10" s="2"/>
      </tp>
      <tp t="s">
        <v>-</v>
        <stp/>
        <stp>bbas3</stp>
        <stp>60</stp>
        <tr r="G12" s="1"/>
      </tp>
      <tp t="s">
        <v>-</v>
        <stp/>
        <stp>bbas3</stp>
        <stp>56</stp>
        <tr r="F12" s="1"/>
      </tp>
      <tp t="s">
        <v>-</v>
        <stp/>
        <stp>itsa4</stp>
        <stp>56</stp>
        <tr r="F11" s="1"/>
      </tp>
      <tp t="s">
        <v>-</v>
        <stp/>
        <stp>itsa4</stp>
        <stp>60</stp>
        <tr r="G1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volatileDependencies" Target="volatileDependenci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71E-4912-90F3-C9542E4F07D8}"/>
              </c:ext>
            </c:extLst>
          </c:dPt>
          <c:dPt>
            <c:idx val="1"/>
            <c:bubble3D val="0"/>
            <c:spPr>
              <a:solidFill>
                <a:srgbClr val="FF4C00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71E-4912-90F3-C9542E4F07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Relatórios!$C$14:$D$14</c:f>
              <c:strCache>
                <c:ptCount val="2"/>
                <c:pt idx="0">
                  <c:v>Comprado</c:v>
                </c:pt>
                <c:pt idx="1">
                  <c:v>Vendido</c:v>
                </c:pt>
              </c:strCache>
            </c:strRef>
          </c:cat>
          <c:val>
            <c:numRef>
              <c:f>Relatórios!$C$15:$D$15</c:f>
              <c:numCache>
                <c:formatCode>_("R$"* #,##0.00_);_("R$"* \(#,##0.00\);_("R$"* "-"??_);_(@_)</c:formatCode>
                <c:ptCount val="2"/>
                <c:pt idx="0">
                  <c:v>0</c:v>
                </c:pt>
                <c:pt idx="1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1E-4912-90F3-C9542E4F0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433-4FEB-A299-C25D306B9FA1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9433-4FEB-A299-C25D306B9F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pt-BR" sz="1200" b="1" i="0" u="none" strike="noStrike" kern="1200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Plan3!$K$5:$K$29</c:f>
              <c:strCache>
                <c:ptCount val="24"/>
                <c:pt idx="0">
                  <c:v>itsa4</c:v>
                </c:pt>
                <c:pt idx="1">
                  <c:v>bbas3</c:v>
                </c:pt>
                <c:pt idx="2">
                  <c:v>petr4</c:v>
                </c:pt>
                <c:pt idx="3">
                  <c:v>RAIL3</c:v>
                </c:pt>
                <c:pt idx="20">
                  <c:v>Total</c:v>
                </c:pt>
                <c:pt idx="22">
                  <c:v>Tesouro Direto</c:v>
                </c:pt>
                <c:pt idx="23">
                  <c:v>Título</c:v>
                </c:pt>
              </c:strCache>
            </c:strRef>
          </c:cat>
          <c:val>
            <c:numRef>
              <c:f>Relatórios!$AJ$8:$AJ$27</c:f>
            </c:numRef>
          </c:val>
          <c:extLst>
            <c:ext xmlns:c16="http://schemas.microsoft.com/office/drawing/2014/chart" uri="{C3380CC4-5D6E-409C-BE32-E72D297353CC}">
              <c16:uniqueId val="{00000004-9433-4FEB-A299-C25D306B9FA1}"/>
            </c:ext>
          </c:extLst>
        </c:ser>
        <c:ser>
          <c:idx val="1"/>
          <c:order val="1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9433-4FEB-A299-C25D306B9FA1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8-9433-4FEB-A299-C25D306B9FA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9433-4FEB-A299-C25D306B9F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Plan3!$K$5:$K$29</c:f>
              <c:strCache>
                <c:ptCount val="24"/>
                <c:pt idx="0">
                  <c:v>itsa4</c:v>
                </c:pt>
                <c:pt idx="1">
                  <c:v>bbas3</c:v>
                </c:pt>
                <c:pt idx="2">
                  <c:v>petr4</c:v>
                </c:pt>
                <c:pt idx="3">
                  <c:v>RAIL3</c:v>
                </c:pt>
                <c:pt idx="20">
                  <c:v>Total</c:v>
                </c:pt>
                <c:pt idx="22">
                  <c:v>Tesouro Direto</c:v>
                </c:pt>
                <c:pt idx="23">
                  <c:v>Título</c:v>
                </c:pt>
              </c:strCache>
            </c:strRef>
          </c:cat>
          <c:val>
            <c:numRef>
              <c:f>Plan3!$N$5:$N$29</c:f>
              <c:numCache>
                <c:formatCode>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433-4FEB-A299-C25D306B9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b="0"/>
          </a:pPr>
          <a:endParaRPr lang="pt-B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www.rico.com.vc/aprenda/mercado/tutorial-de-real-time-data/assistir?submissionGuid=3e5a73a5-7684-4d18-951f-e3dc9b3c1d7d" TargetMode="External"/><Relationship Id="rId7" Type="http://schemas.openxmlformats.org/officeDocument/2006/relationships/hyperlink" Target="https://www.facebook.com/Ricocomvc" TargetMode="External"/><Relationship Id="rId12" Type="http://schemas.openxmlformats.org/officeDocument/2006/relationships/hyperlink" Target="https://www.linkedin.com/company/rico-com-vc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rico.com.vc/servicos/home-broker#realtimedata" TargetMode="External"/><Relationship Id="rId6" Type="http://schemas.openxmlformats.org/officeDocument/2006/relationships/image" Target="../media/image4.jpg"/><Relationship Id="rId11" Type="http://schemas.openxmlformats.org/officeDocument/2006/relationships/hyperlink" Target="https://www.instagram.com/ricocomvc/" TargetMode="External"/><Relationship Id="rId5" Type="http://schemas.openxmlformats.org/officeDocument/2006/relationships/image" Target="../media/image3.png"/><Relationship Id="rId10" Type="http://schemas.openxmlformats.org/officeDocument/2006/relationships/hyperlink" Target="https://youtube.com/ricohomebroker" TargetMode="External"/><Relationship Id="rId4" Type="http://schemas.openxmlformats.org/officeDocument/2006/relationships/image" Target="../media/image2.jpeg"/><Relationship Id="rId9" Type="http://schemas.openxmlformats.org/officeDocument/2006/relationships/hyperlink" Target="https://twitter.com/ricocomvc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rico.com.vc/aprenda/mercado/tutorial-de-real-time-data/assistir?submissionGuid=3e5a73a5-7684-4d18-951f-e3dc9b3c1d7d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rico.com.vc/vantagens-rico#realtimedata" TargetMode="External"/><Relationship Id="rId4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s://www.rico.com.vc/aprenda/mercado/tutorial-de-real-time-data/assistir?submissionGuid=3e5a73a5-7684-4d18-951f-e3dc9b3c1d7d" TargetMode="External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1.png"/><Relationship Id="rId4" Type="http://schemas.openxmlformats.org/officeDocument/2006/relationships/hyperlink" Target="https://www.rico.com.vc/vantagens-rico#realtimedata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rico.com.vc/aprenda/mercado/tutorial-de-real-time-data/assistir?submissionGuid=3e5a73a5-7684-4d18-951f-e3dc9b3c1d7d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rico.com.vc/vantagens-rico#realtimedata" TargetMode="External"/><Relationship Id="rId4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www.rico.com.vc/vantagens-rico#realtimedata" TargetMode="External"/><Relationship Id="rId6" Type="http://schemas.openxmlformats.org/officeDocument/2006/relationships/hyperlink" Target="https://www.rico.com.vc/aprenda/mercado/tutorial-de-real-time-data/assistir?submissionGuid=3e5a73a5-7684-4d18-951f-e3dc9b3c1d7d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rico.com.vc/aprenda/curso/7-homebroker-e-plataformas/53-homebroker-e-servicos/182-tutorial-de-real-time-data/participar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156463</xdr:rowOff>
    </xdr:from>
    <xdr:to>
      <xdr:col>4</xdr:col>
      <xdr:colOff>257175</xdr:colOff>
      <xdr:row>3</xdr:row>
      <xdr:rowOff>386461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556513"/>
          <a:ext cx="1019175" cy="420498"/>
        </a:xfrm>
        <a:prstGeom prst="rect">
          <a:avLst/>
        </a:prstGeom>
      </xdr:spPr>
    </xdr:pic>
    <xdr:clientData/>
  </xdr:twoCellAnchor>
  <xdr:twoCellAnchor editAs="oneCell">
    <xdr:from>
      <xdr:col>14</xdr:col>
      <xdr:colOff>402989</xdr:colOff>
      <xdr:row>1</xdr:row>
      <xdr:rowOff>133351</xdr:rowOff>
    </xdr:from>
    <xdr:to>
      <xdr:col>15</xdr:col>
      <xdr:colOff>392022</xdr:colOff>
      <xdr:row>3</xdr:row>
      <xdr:rowOff>276226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751"/>
        <a:stretch/>
      </xdr:blipFill>
      <xdr:spPr>
        <a:xfrm>
          <a:off x="8032514" y="333376"/>
          <a:ext cx="598633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19</xdr:row>
      <xdr:rowOff>152399</xdr:rowOff>
    </xdr:from>
    <xdr:to>
      <xdr:col>2</xdr:col>
      <xdr:colOff>228600</xdr:colOff>
      <xdr:row>20</xdr:row>
      <xdr:rowOff>180974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4762499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21</xdr:row>
      <xdr:rowOff>0</xdr:rowOff>
    </xdr:from>
    <xdr:to>
      <xdr:col>2</xdr:col>
      <xdr:colOff>219075</xdr:colOff>
      <xdr:row>22</xdr:row>
      <xdr:rowOff>19050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4991100"/>
          <a:ext cx="209550" cy="209550"/>
        </a:xfrm>
        <a:prstGeom prst="rect">
          <a:avLst/>
        </a:prstGeom>
      </xdr:spPr>
    </xdr:pic>
    <xdr:clientData/>
  </xdr:twoCellAnchor>
  <xdr:twoCellAnchor editAs="oneCell">
    <xdr:from>
      <xdr:col>12</xdr:col>
      <xdr:colOff>581025</xdr:colOff>
      <xdr:row>20</xdr:row>
      <xdr:rowOff>180974</xdr:rowOff>
    </xdr:from>
    <xdr:to>
      <xdr:col>13</xdr:col>
      <xdr:colOff>301466</xdr:colOff>
      <xdr:row>22</xdr:row>
      <xdr:rowOff>114300</xdr:rowOff>
    </xdr:to>
    <xdr:pic>
      <xdr:nvPicPr>
        <xdr:cNvPr id="7" name="Imagem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69" t="9468" r="73490" b="55030"/>
        <a:stretch/>
      </xdr:blipFill>
      <xdr:spPr>
        <a:xfrm>
          <a:off x="6991350" y="4981574"/>
          <a:ext cx="330041" cy="314326"/>
        </a:xfrm>
        <a:prstGeom prst="rect">
          <a:avLst/>
        </a:prstGeom>
      </xdr:spPr>
    </xdr:pic>
    <xdr:clientData/>
  </xdr:twoCellAnchor>
  <xdr:twoCellAnchor editAs="oneCell">
    <xdr:from>
      <xdr:col>13</xdr:col>
      <xdr:colOff>333375</xdr:colOff>
      <xdr:row>20</xdr:row>
      <xdr:rowOff>150586</xdr:rowOff>
    </xdr:from>
    <xdr:to>
      <xdr:col>14</xdr:col>
      <xdr:colOff>67412</xdr:colOff>
      <xdr:row>22</xdr:row>
      <xdr:rowOff>129586</xdr:rowOff>
    </xdr:to>
    <xdr:pic>
      <xdr:nvPicPr>
        <xdr:cNvPr id="8" name="Imagem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81" t="6509" r="51678" b="54438"/>
        <a:stretch/>
      </xdr:blipFill>
      <xdr:spPr>
        <a:xfrm>
          <a:off x="7353300" y="4951186"/>
          <a:ext cx="343637" cy="36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66674</xdr:colOff>
      <xdr:row>20</xdr:row>
      <xdr:rowOff>162477</xdr:rowOff>
    </xdr:from>
    <xdr:to>
      <xdr:col>14</xdr:col>
      <xdr:colOff>437420</xdr:colOff>
      <xdr:row>22</xdr:row>
      <xdr:rowOff>141477</xdr:rowOff>
    </xdr:to>
    <xdr:pic>
      <xdr:nvPicPr>
        <xdr:cNvPr id="9" name="Imagem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141" t="50296" r="5704" b="10059"/>
        <a:stretch/>
      </xdr:blipFill>
      <xdr:spPr>
        <a:xfrm>
          <a:off x="7696199" y="4963077"/>
          <a:ext cx="370746" cy="36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447674</xdr:colOff>
      <xdr:row>20</xdr:row>
      <xdr:rowOff>171450</xdr:rowOff>
    </xdr:from>
    <xdr:to>
      <xdr:col>15</xdr:col>
      <xdr:colOff>180974</xdr:colOff>
      <xdr:row>22</xdr:row>
      <xdr:rowOff>133350</xdr:rowOff>
    </xdr:to>
    <xdr:pic>
      <xdr:nvPicPr>
        <xdr:cNvPr id="11" name="Imagem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047" t="51480" r="72483" b="12425"/>
        <a:stretch/>
      </xdr:blipFill>
      <xdr:spPr>
        <a:xfrm>
          <a:off x="8077199" y="49720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200025</xdr:colOff>
      <xdr:row>20</xdr:row>
      <xdr:rowOff>171449</xdr:rowOff>
    </xdr:from>
    <xdr:to>
      <xdr:col>15</xdr:col>
      <xdr:colOff>549796</xdr:colOff>
      <xdr:row>22</xdr:row>
      <xdr:rowOff>123825</xdr:rowOff>
    </xdr:to>
    <xdr:pic>
      <xdr:nvPicPr>
        <xdr:cNvPr id="12" name="Imagem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658" t="52072" r="29866" b="11834"/>
        <a:stretch/>
      </xdr:blipFill>
      <xdr:spPr>
        <a:xfrm>
          <a:off x="7991475" y="5162549"/>
          <a:ext cx="349771" cy="3333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16</xdr:row>
          <xdr:rowOff>19050</xdr:rowOff>
        </xdr:from>
        <xdr:to>
          <xdr:col>5</xdr:col>
          <xdr:colOff>190500</xdr:colOff>
          <xdr:row>18</xdr:row>
          <xdr:rowOff>123825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Posição de Custódia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16</xdr:row>
          <xdr:rowOff>19050</xdr:rowOff>
        </xdr:from>
        <xdr:to>
          <xdr:col>7</xdr:col>
          <xdr:colOff>542925</xdr:colOff>
          <xdr:row>18</xdr:row>
          <xdr:rowOff>123825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Acompanhamento de mercado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16</xdr:row>
          <xdr:rowOff>19050</xdr:rowOff>
        </xdr:from>
        <xdr:to>
          <xdr:col>10</xdr:col>
          <xdr:colOff>304800</xdr:colOff>
          <xdr:row>18</xdr:row>
          <xdr:rowOff>123825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Relatórios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16</xdr:row>
          <xdr:rowOff>28575</xdr:rowOff>
        </xdr:from>
        <xdr:to>
          <xdr:col>13</xdr:col>
          <xdr:colOff>76200</xdr:colOff>
          <xdr:row>18</xdr:row>
          <xdr:rowOff>133350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IR Day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108838</xdr:rowOff>
    </xdr:from>
    <xdr:to>
      <xdr:col>2</xdr:col>
      <xdr:colOff>381000</xdr:colOff>
      <xdr:row>4</xdr:row>
      <xdr:rowOff>24511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299338"/>
          <a:ext cx="1019175" cy="420498"/>
        </a:xfrm>
        <a:prstGeom prst="rect">
          <a:avLst/>
        </a:prstGeom>
      </xdr:spPr>
    </xdr:pic>
    <xdr:clientData/>
  </xdr:twoCellAnchor>
  <xdr:twoCellAnchor editAs="oneCell">
    <xdr:from>
      <xdr:col>8</xdr:col>
      <xdr:colOff>925367</xdr:colOff>
      <xdr:row>0</xdr:row>
      <xdr:rowOff>28575</xdr:rowOff>
    </xdr:from>
    <xdr:to>
      <xdr:col>8</xdr:col>
      <xdr:colOff>1524000</xdr:colOff>
      <xdr:row>3</xdr:row>
      <xdr:rowOff>28575</xdr:rowOff>
    </xdr:to>
    <xdr:pic>
      <xdr:nvPicPr>
        <xdr:cNvPr id="3" name="Imagem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751"/>
        <a:stretch/>
      </xdr:blipFill>
      <xdr:spPr>
        <a:xfrm>
          <a:off x="7745267" y="28575"/>
          <a:ext cx="598633" cy="533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</xdr:row>
          <xdr:rowOff>38100</xdr:rowOff>
        </xdr:from>
        <xdr:to>
          <xdr:col>8</xdr:col>
          <xdr:colOff>781050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Ínicio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847725</xdr:colOff>
          <xdr:row>3</xdr:row>
          <xdr:rowOff>38100</xdr:rowOff>
        </xdr:from>
        <xdr:to>
          <xdr:col>11</xdr:col>
          <xdr:colOff>514350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Relatórios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</xdr:row>
          <xdr:rowOff>0</xdr:rowOff>
        </xdr:from>
        <xdr:to>
          <xdr:col>8</xdr:col>
          <xdr:colOff>771525</xdr:colOff>
          <xdr:row>6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Mercado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838200</xdr:colOff>
          <xdr:row>5</xdr:row>
          <xdr:rowOff>0</xdr:rowOff>
        </xdr:from>
        <xdr:to>
          <xdr:col>11</xdr:col>
          <xdr:colOff>504825</xdr:colOff>
          <xdr:row>6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IR Day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52385</xdr:colOff>
      <xdr:row>6</xdr:row>
      <xdr:rowOff>4762</xdr:rowOff>
    </xdr:from>
    <xdr:to>
      <xdr:col>7</xdr:col>
      <xdr:colOff>0</xdr:colOff>
      <xdr:row>19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10966</xdr:colOff>
      <xdr:row>0</xdr:row>
      <xdr:rowOff>0</xdr:rowOff>
    </xdr:from>
    <xdr:to>
      <xdr:col>16</xdr:col>
      <xdr:colOff>0</xdr:colOff>
      <xdr:row>2</xdr:row>
      <xdr:rowOff>152400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751"/>
        <a:stretch/>
      </xdr:blipFill>
      <xdr:spPr>
        <a:xfrm>
          <a:off x="9374041" y="0"/>
          <a:ext cx="598634" cy="533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146938</xdr:rowOff>
    </xdr:from>
    <xdr:to>
      <xdr:col>2</xdr:col>
      <xdr:colOff>314325</xdr:colOff>
      <xdr:row>3</xdr:row>
      <xdr:rowOff>186436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37438"/>
          <a:ext cx="1019175" cy="420498"/>
        </a:xfrm>
        <a:prstGeom prst="rect">
          <a:avLst/>
        </a:prstGeom>
      </xdr:spPr>
    </xdr:pic>
    <xdr:clientData/>
  </xdr:twoCellAnchor>
  <xdr:twoCellAnchor>
    <xdr:from>
      <xdr:col>7</xdr:col>
      <xdr:colOff>466725</xdr:colOff>
      <xdr:row>6</xdr:row>
      <xdr:rowOff>19050</xdr:rowOff>
    </xdr:from>
    <xdr:to>
      <xdr:col>14</xdr:col>
      <xdr:colOff>381000</xdr:colOff>
      <xdr:row>19</xdr:row>
      <xdr:rowOff>171450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</xdr:row>
          <xdr:rowOff>85725</xdr:rowOff>
        </xdr:from>
        <xdr:to>
          <xdr:col>13</xdr:col>
          <xdr:colOff>447675</xdr:colOff>
          <xdr:row>3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Ínicio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</xdr:row>
          <xdr:rowOff>85725</xdr:rowOff>
        </xdr:from>
        <xdr:to>
          <xdr:col>15</xdr:col>
          <xdr:colOff>47625</xdr:colOff>
          <xdr:row>3</xdr:row>
          <xdr:rowOff>123825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Custódia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314325</xdr:colOff>
          <xdr:row>4</xdr:row>
          <xdr:rowOff>9525</xdr:rowOff>
        </xdr:from>
        <xdr:to>
          <xdr:col>13</xdr:col>
          <xdr:colOff>457200</xdr:colOff>
          <xdr:row>5</xdr:row>
          <xdr:rowOff>47625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Mercado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4</xdr:row>
          <xdr:rowOff>9525</xdr:rowOff>
        </xdr:from>
        <xdr:to>
          <xdr:col>15</xdr:col>
          <xdr:colOff>47625</xdr:colOff>
          <xdr:row>5</xdr:row>
          <xdr:rowOff>47625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IR Day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</xdr:row>
      <xdr:rowOff>139611</xdr:rowOff>
    </xdr:from>
    <xdr:to>
      <xdr:col>2</xdr:col>
      <xdr:colOff>333375</xdr:colOff>
      <xdr:row>4</xdr:row>
      <xdr:rowOff>31838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330111"/>
          <a:ext cx="1123950" cy="4637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3</xdr:row>
          <xdr:rowOff>57150</xdr:rowOff>
        </xdr:from>
        <xdr:to>
          <xdr:col>10</xdr:col>
          <xdr:colOff>723900</xdr:colOff>
          <xdr:row>4</xdr:row>
          <xdr:rowOff>95250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Ínicio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10967</xdr:colOff>
      <xdr:row>0</xdr:row>
      <xdr:rowOff>0</xdr:rowOff>
    </xdr:from>
    <xdr:to>
      <xdr:col>12</xdr:col>
      <xdr:colOff>0</xdr:colOff>
      <xdr:row>2</xdr:row>
      <xdr:rowOff>152400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751"/>
        <a:stretch/>
      </xdr:blipFill>
      <xdr:spPr>
        <a:xfrm>
          <a:off x="9526442" y="0"/>
          <a:ext cx="598633" cy="533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866775</xdr:colOff>
          <xdr:row>5</xdr:row>
          <xdr:rowOff>19050</xdr:rowOff>
        </xdr:from>
        <xdr:to>
          <xdr:col>10</xdr:col>
          <xdr:colOff>733425</xdr:colOff>
          <xdr:row>6</xdr:row>
          <xdr:rowOff>57150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895350</xdr:colOff>
          <xdr:row>3</xdr:row>
          <xdr:rowOff>57150</xdr:rowOff>
        </xdr:from>
        <xdr:to>
          <xdr:col>11</xdr:col>
          <xdr:colOff>523875</xdr:colOff>
          <xdr:row>4</xdr:row>
          <xdr:rowOff>95250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Custódia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904875</xdr:colOff>
          <xdr:row>5</xdr:row>
          <xdr:rowOff>19050</xdr:rowOff>
        </xdr:from>
        <xdr:to>
          <xdr:col>11</xdr:col>
          <xdr:colOff>533400</xdr:colOff>
          <xdr:row>6</xdr:row>
          <xdr:rowOff>57150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IR Day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108838</xdr:rowOff>
    </xdr:from>
    <xdr:to>
      <xdr:col>2</xdr:col>
      <xdr:colOff>381000</xdr:colOff>
      <xdr:row>3</xdr:row>
      <xdr:rowOff>148336</xdr:rowOff>
    </xdr:to>
    <xdr:pic>
      <xdr:nvPicPr>
        <xdr:cNvPr id="8" name="Imagem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299338"/>
          <a:ext cx="1019175" cy="420498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9525</xdr:colOff>
      <xdr:row>5</xdr:row>
      <xdr:rowOff>66675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0"/>
          <a:ext cx="1019175" cy="1019175"/>
        </a:xfrm>
        <a:prstGeom prst="rect">
          <a:avLst/>
        </a:prstGeom>
      </xdr:spPr>
    </xdr:pic>
    <xdr:clientData/>
  </xdr:twoCellAnchor>
  <xdr:twoCellAnchor editAs="oneCell">
    <xdr:from>
      <xdr:col>8</xdr:col>
      <xdr:colOff>925367</xdr:colOff>
      <xdr:row>0</xdr:row>
      <xdr:rowOff>28575</xdr:rowOff>
    </xdr:from>
    <xdr:to>
      <xdr:col>8</xdr:col>
      <xdr:colOff>925367</xdr:colOff>
      <xdr:row>2</xdr:row>
      <xdr:rowOff>180975</xdr:rowOff>
    </xdr:to>
    <xdr:pic>
      <xdr:nvPicPr>
        <xdr:cNvPr id="3" name="Imagem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751"/>
        <a:stretch/>
      </xdr:blipFill>
      <xdr:spPr>
        <a:xfrm>
          <a:off x="7745267" y="28575"/>
          <a:ext cx="598633" cy="533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</xdr:row>
          <xdr:rowOff>38100</xdr:rowOff>
        </xdr:from>
        <xdr:to>
          <xdr:col>8</xdr:col>
          <xdr:colOff>781050</xdr:colOff>
          <xdr:row>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Ínicio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847725</xdr:colOff>
          <xdr:row>3</xdr:row>
          <xdr:rowOff>19050</xdr:rowOff>
        </xdr:from>
        <xdr:to>
          <xdr:col>9</xdr:col>
          <xdr:colOff>704850</xdr:colOff>
          <xdr:row>4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Relatórios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</xdr:row>
          <xdr:rowOff>180975</xdr:rowOff>
        </xdr:from>
        <xdr:to>
          <xdr:col>8</xdr:col>
          <xdr:colOff>771525</xdr:colOff>
          <xdr:row>6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Mercado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838200</xdr:colOff>
          <xdr:row>4</xdr:row>
          <xdr:rowOff>180975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Trader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</xdr:row>
          <xdr:rowOff>38100</xdr:rowOff>
        </xdr:from>
        <xdr:to>
          <xdr:col>8</xdr:col>
          <xdr:colOff>781050</xdr:colOff>
          <xdr:row>4</xdr:row>
          <xdr:rowOff>76200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Ínicio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847725</xdr:colOff>
          <xdr:row>3</xdr:row>
          <xdr:rowOff>19050</xdr:rowOff>
        </xdr:from>
        <xdr:to>
          <xdr:col>9</xdr:col>
          <xdr:colOff>838200</xdr:colOff>
          <xdr:row>4</xdr:row>
          <xdr:rowOff>66675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Relatórios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</xdr:row>
          <xdr:rowOff>180975</xdr:rowOff>
        </xdr:from>
        <xdr:to>
          <xdr:col>8</xdr:col>
          <xdr:colOff>771525</xdr:colOff>
          <xdr:row>6</xdr:row>
          <xdr:rowOff>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Mercado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838200</xdr:colOff>
          <xdr:row>4</xdr:row>
          <xdr:rowOff>190500</xdr:rowOff>
        </xdr:from>
        <xdr:to>
          <xdr:col>9</xdr:col>
          <xdr:colOff>866775</xdr:colOff>
          <xdr:row>6</xdr:row>
          <xdr:rowOff>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Acompanhamento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9525</xdr:colOff>
      <xdr:row>0</xdr:row>
      <xdr:rowOff>0</xdr:rowOff>
    </xdr:from>
    <xdr:ext cx="0" cy="1019175"/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0"/>
          <a:ext cx="0" cy="1019175"/>
        </a:xfrm>
        <a:prstGeom prst="rect">
          <a:avLst/>
        </a:prstGeom>
      </xdr:spPr>
    </xdr:pic>
    <xdr:clientData/>
  </xdr:oneCellAnchor>
  <xdr:twoCellAnchor editAs="oneCell">
    <xdr:from>
      <xdr:col>9</xdr:col>
      <xdr:colOff>180975</xdr:colOff>
      <xdr:row>0</xdr:row>
      <xdr:rowOff>0</xdr:rowOff>
    </xdr:from>
    <xdr:to>
      <xdr:col>9</xdr:col>
      <xdr:colOff>779608</xdr:colOff>
      <xdr:row>2</xdr:row>
      <xdr:rowOff>152400</xdr:rowOff>
    </xdr:to>
    <xdr:pic>
      <xdr:nvPicPr>
        <xdr:cNvPr id="15" name="Imagem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751"/>
        <a:stretch/>
      </xdr:blipFill>
      <xdr:spPr>
        <a:xfrm>
          <a:off x="8086725" y="0"/>
          <a:ext cx="598633" cy="5334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ouro-direto-precos-e-taxas-dos-titulos" connectionId="1" xr16:uid="{00000000-0016-0000-06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rico.com.vc/servicos/home-broker" TargetMode="External"/><Relationship Id="rId1" Type="http://schemas.openxmlformats.org/officeDocument/2006/relationships/hyperlink" Target="mailto:atendimento@rico.com.vc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R30"/>
  <sheetViews>
    <sheetView showGridLines="0" zoomScaleNormal="100" zoomScaleSheetLayoutView="130" workbookViewId="0">
      <selection activeCell="C9" sqref="C9:P10"/>
    </sheetView>
  </sheetViews>
  <sheetFormatPr defaultColWidth="0" defaultRowHeight="15" zeroHeight="1" x14ac:dyDescent="0.25"/>
  <cols>
    <col min="1" max="2" width="2.42578125" style="8" customWidth="1"/>
    <col min="3" max="3" width="3.7109375" style="8" customWidth="1"/>
    <col min="4" max="4" width="7.7109375" style="8" customWidth="1"/>
    <col min="5" max="16" width="9.140625" style="8" customWidth="1"/>
    <col min="17" max="17" width="2.42578125" style="8" customWidth="1"/>
    <col min="18" max="18" width="4.5703125" style="8" customWidth="1"/>
    <col min="19" max="16384" width="9.140625" style="8" hidden="1"/>
  </cols>
  <sheetData>
    <row r="1" spans="1:17" ht="15.75" thickBot="1" x14ac:dyDescent="0.3"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</row>
    <row r="2" spans="1:17" ht="15.75" thickTop="1" x14ac:dyDescent="0.25">
      <c r="A2" s="51"/>
      <c r="Q2" s="51"/>
    </row>
    <row r="3" spans="1:17" x14ac:dyDescent="0.25">
      <c r="A3" s="51"/>
      <c r="Q3" s="51"/>
    </row>
    <row r="4" spans="1:17" ht="31.5" x14ac:dyDescent="0.5">
      <c r="A4" s="51"/>
      <c r="F4" s="47" t="s">
        <v>46</v>
      </c>
      <c r="K4" s="46"/>
      <c r="Q4" s="51"/>
    </row>
    <row r="5" spans="1:17" x14ac:dyDescent="0.25">
      <c r="A5" s="51"/>
      <c r="Q5" s="51"/>
    </row>
    <row r="6" spans="1:17" x14ac:dyDescent="0.25">
      <c r="A6" s="51"/>
      <c r="Q6" s="51"/>
    </row>
    <row r="7" spans="1:17" x14ac:dyDescent="0.25">
      <c r="A7" s="51"/>
      <c r="C7" s="56" t="s">
        <v>72</v>
      </c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1"/>
    </row>
    <row r="8" spans="1:17" x14ac:dyDescent="0.25">
      <c r="A8" s="51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1"/>
    </row>
    <row r="9" spans="1:17" ht="15" customHeight="1" x14ac:dyDescent="0.25">
      <c r="A9" s="51"/>
      <c r="C9" s="56" t="s">
        <v>54</v>
      </c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1"/>
    </row>
    <row r="10" spans="1:17" x14ac:dyDescent="0.25">
      <c r="A10" s="51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1"/>
    </row>
    <row r="11" spans="1:17" x14ac:dyDescent="0.25">
      <c r="A11" s="51"/>
      <c r="Q11" s="51"/>
    </row>
    <row r="12" spans="1:17" x14ac:dyDescent="0.25">
      <c r="A12" s="51"/>
      <c r="C12" s="43" t="s">
        <v>50</v>
      </c>
      <c r="Q12" s="51"/>
    </row>
    <row r="13" spans="1:17" x14ac:dyDescent="0.25">
      <c r="A13" s="51"/>
      <c r="C13" s="8" t="s">
        <v>51</v>
      </c>
      <c r="K13" s="9" t="s">
        <v>52</v>
      </c>
      <c r="Q13" s="51"/>
    </row>
    <row r="14" spans="1:17" x14ac:dyDescent="0.25">
      <c r="A14" s="51"/>
      <c r="C14" s="8" t="s">
        <v>80</v>
      </c>
      <c r="Q14" s="51"/>
    </row>
    <row r="15" spans="1:17" x14ac:dyDescent="0.25">
      <c r="A15" s="51"/>
      <c r="C15" s="8" t="s">
        <v>53</v>
      </c>
      <c r="Q15" s="51"/>
    </row>
    <row r="16" spans="1:17" x14ac:dyDescent="0.25">
      <c r="A16" s="51"/>
      <c r="B16" s="10"/>
      <c r="Q16" s="51"/>
    </row>
    <row r="17" spans="1:17" x14ac:dyDescent="0.25">
      <c r="A17" s="51"/>
      <c r="B17" s="10"/>
      <c r="Q17" s="51"/>
    </row>
    <row r="18" spans="1:17" x14ac:dyDescent="0.25">
      <c r="A18" s="51"/>
      <c r="Q18" s="51"/>
    </row>
    <row r="19" spans="1:17" x14ac:dyDescent="0.25">
      <c r="A19" s="51"/>
      <c r="Q19" s="51"/>
    </row>
    <row r="20" spans="1:17" x14ac:dyDescent="0.25">
      <c r="A20" s="51"/>
      <c r="D20" s="8" t="s">
        <v>47</v>
      </c>
      <c r="Q20" s="51"/>
    </row>
    <row r="21" spans="1:17" x14ac:dyDescent="0.25">
      <c r="A21" s="51"/>
      <c r="D21" s="8" t="s">
        <v>48</v>
      </c>
      <c r="Q21" s="51"/>
    </row>
    <row r="22" spans="1:17" x14ac:dyDescent="0.25">
      <c r="A22" s="51"/>
      <c r="D22" s="9" t="s">
        <v>49</v>
      </c>
      <c r="Q22" s="51"/>
    </row>
    <row r="23" spans="1:17" ht="15.75" thickBot="1" x14ac:dyDescent="0.3">
      <c r="A23" s="51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3"/>
    </row>
    <row r="24" spans="1:17" ht="15.75" thickTop="1" x14ac:dyDescent="0.25"/>
    <row r="25" spans="1:17" hidden="1" x14ac:dyDescent="0.25"/>
    <row r="26" spans="1:17" hidden="1" x14ac:dyDescent="0.25"/>
    <row r="27" spans="1:17" hidden="1" x14ac:dyDescent="0.25"/>
    <row r="28" spans="1:17" x14ac:dyDescent="0.25"/>
    <row r="29" spans="1:17" hidden="1" x14ac:dyDescent="0.25"/>
    <row r="30" spans="1:17" hidden="1" x14ac:dyDescent="0.25"/>
  </sheetData>
  <sheetProtection algorithmName="SHA-512" hashValue="F2BUKk1Wblgx6tdtlwRCBszn+TXd5+UmeuSIHzqyQ2mI1A/I8zlhhWsvTRjy9Qb1POO/bfVFlresjKC11Y8lAw==" saltValue="XqRtE3XJUax/h8DLZFzBxg==" spinCount="100000" sheet="1" objects="1" scenarios="1" formatCells="0" formatColumns="0" formatRows="0" insertColumns="0" insertRows="0" insertHyperlinks="0" deleteColumns="0" deleteRows="0" sort="0" autoFilter="0" pivotTables="0"/>
  <mergeCells count="2">
    <mergeCell ref="C7:P8"/>
    <mergeCell ref="C9:P10"/>
  </mergeCells>
  <hyperlinks>
    <hyperlink ref="D22" r:id="rId1" xr:uid="{00000000-0004-0000-0000-000000000000}"/>
    <hyperlink ref="K13" r:id="rId2" location="realtimedata" xr:uid="{00000000-0004-0000-0000-000001000000}"/>
  </hyperlinks>
  <pageMargins left="0.511811024" right="0.511811024" top="0.78740157499999996" bottom="0.78740157499999996" header="0.31496062000000002" footer="0.31496062000000002"/>
  <pageSetup paperSize="9" scale="72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Pos">
                <anchor moveWithCells="1" sizeWithCells="1">
                  <from>
                    <xdr:col>2</xdr:col>
                    <xdr:colOff>161925</xdr:colOff>
                    <xdr:row>16</xdr:row>
                    <xdr:rowOff>19050</xdr:rowOff>
                  </from>
                  <to>
                    <xdr:col>5</xdr:col>
                    <xdr:colOff>190500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acom">
                <anchor moveWithCells="1" sizeWithCells="1">
                  <from>
                    <xdr:col>5</xdr:col>
                    <xdr:colOff>361950</xdr:colOff>
                    <xdr:row>16</xdr:row>
                    <xdr:rowOff>19050</xdr:rowOff>
                  </from>
                  <to>
                    <xdr:col>7</xdr:col>
                    <xdr:colOff>542925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Macro1">
                <anchor moveWithCells="1" sizeWithCells="1">
                  <from>
                    <xdr:col>8</xdr:col>
                    <xdr:colOff>123825</xdr:colOff>
                    <xdr:row>16</xdr:row>
                    <xdr:rowOff>19050</xdr:rowOff>
                  </from>
                  <to>
                    <xdr:col>10</xdr:col>
                    <xdr:colOff>304800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IRDayTrade">
                <anchor moveWithCells="1" sizeWithCells="1">
                  <from>
                    <xdr:col>10</xdr:col>
                    <xdr:colOff>504825</xdr:colOff>
                    <xdr:row>16</xdr:row>
                    <xdr:rowOff>28575</xdr:rowOff>
                  </from>
                  <to>
                    <xdr:col>13</xdr:col>
                    <xdr:colOff>76200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L330"/>
  <sheetViews>
    <sheetView showGridLines="0" tabSelected="1" workbookViewId="0">
      <selection activeCell="D7" sqref="D7"/>
    </sheetView>
  </sheetViews>
  <sheetFormatPr defaultColWidth="0" defaultRowHeight="15" x14ac:dyDescent="0.25"/>
  <cols>
    <col min="1" max="1" width="4" style="8" customWidth="1"/>
    <col min="2" max="3" width="9.7109375" style="8" customWidth="1"/>
    <col min="4" max="4" width="15.5703125" style="18" bestFit="1" customWidth="1"/>
    <col min="5" max="5" width="14.85546875" style="19" bestFit="1" customWidth="1"/>
    <col min="6" max="6" width="15.5703125" style="19" bestFit="1" customWidth="1"/>
    <col min="7" max="7" width="15.140625" style="13" bestFit="1" customWidth="1"/>
    <col min="8" max="8" width="18.5703125" style="12" customWidth="1"/>
    <col min="9" max="9" width="24.28515625" style="13" bestFit="1" customWidth="1"/>
    <col min="10" max="11" width="14.28515625" style="8" hidden="1" customWidth="1"/>
    <col min="12" max="12" width="9.140625" style="8" customWidth="1"/>
    <col min="13" max="14" width="9.140625" style="8" hidden="1" customWidth="1"/>
    <col min="15" max="16384" width="9.140625" style="8" hidden="1"/>
  </cols>
  <sheetData>
    <row r="2" spans="2:11" ht="12" customHeight="1" x14ac:dyDescent="0.5">
      <c r="D2" s="60" t="s">
        <v>60</v>
      </c>
      <c r="E2" s="60"/>
      <c r="F2" s="60"/>
      <c r="G2" s="60"/>
      <c r="H2" s="60"/>
      <c r="I2" s="60"/>
      <c r="J2" s="11"/>
      <c r="K2" s="11"/>
    </row>
    <row r="3" spans="2:11" ht="15" customHeight="1" x14ac:dyDescent="0.5">
      <c r="D3" s="60"/>
      <c r="E3" s="60"/>
      <c r="F3" s="60"/>
      <c r="G3" s="60"/>
      <c r="H3" s="60"/>
      <c r="I3" s="60"/>
      <c r="J3" s="11"/>
      <c r="K3" s="11"/>
    </row>
    <row r="4" spans="2:11" ht="12.75" customHeight="1" x14ac:dyDescent="0.25"/>
    <row r="5" spans="2:11" ht="10.5" customHeight="1" x14ac:dyDescent="0.25"/>
    <row r="6" spans="2:11" ht="17.25" x14ac:dyDescent="0.3">
      <c r="D6" s="48" t="s">
        <v>14</v>
      </c>
      <c r="E6" s="48" t="s">
        <v>15</v>
      </c>
      <c r="F6" s="49" t="s">
        <v>16</v>
      </c>
      <c r="G6" s="50" t="s">
        <v>4</v>
      </c>
    </row>
    <row r="7" spans="2:11" x14ac:dyDescent="0.25">
      <c r="D7" s="14">
        <f>SUM(J11:J30)+F46</f>
        <v>253200</v>
      </c>
      <c r="E7" s="15">
        <f>SUM(K11:K30)+G46</f>
        <v>80000</v>
      </c>
      <c r="F7" s="15">
        <f>(E7-D7)+H46</f>
        <v>-173200</v>
      </c>
      <c r="G7" s="44">
        <f>(F7/D7)*100</f>
        <v>-68.404423380726698</v>
      </c>
    </row>
    <row r="8" spans="2:11" x14ac:dyDescent="0.25">
      <c r="H8" s="20"/>
    </row>
    <row r="9" spans="2:11" ht="19.5" x14ac:dyDescent="0.3">
      <c r="B9" s="61" t="s">
        <v>121</v>
      </c>
      <c r="C9" s="61"/>
      <c r="D9" s="61"/>
      <c r="E9" s="61"/>
      <c r="F9" s="61"/>
      <c r="G9" s="61"/>
      <c r="H9" s="61"/>
      <c r="I9" s="61"/>
    </row>
    <row r="10" spans="2:11" s="32" customFormat="1" x14ac:dyDescent="0.25">
      <c r="B10" s="33" t="s">
        <v>0</v>
      </c>
      <c r="C10" s="33" t="s">
        <v>57</v>
      </c>
      <c r="D10" s="34" t="s">
        <v>1</v>
      </c>
      <c r="E10" s="35" t="s">
        <v>58</v>
      </c>
      <c r="F10" s="35" t="s">
        <v>2</v>
      </c>
      <c r="G10" s="36" t="s">
        <v>3</v>
      </c>
      <c r="H10" s="37" t="s">
        <v>16</v>
      </c>
      <c r="I10" s="36" t="s">
        <v>4</v>
      </c>
      <c r="J10" s="32" t="s">
        <v>17</v>
      </c>
      <c r="K10" s="32" t="s">
        <v>18</v>
      </c>
    </row>
    <row r="11" spans="2:11" x14ac:dyDescent="0.25">
      <c r="B11" s="21" t="s">
        <v>19</v>
      </c>
      <c r="C11" s="21" t="s">
        <v>55</v>
      </c>
      <c r="D11" s="22">
        <v>10000</v>
      </c>
      <c r="E11" s="15">
        <v>9</v>
      </c>
      <c r="F11" s="15" t="str">
        <f>IF(B11="","",RTD("octo.rtdserver","",B11,"56"))</f>
        <v>-</v>
      </c>
      <c r="G11" s="17" t="str">
        <f>IF(B11="","",RTD("octo.rtdserver","",B11,"60"))</f>
        <v>-</v>
      </c>
      <c r="H11" s="16" t="str">
        <f>IFERROR(IF(C11="comprado",(F11-E11)*D11,(E11-F11)*D11),"")</f>
        <v/>
      </c>
      <c r="I11" s="17" t="e">
        <f>IF(B11="","",(H11/(D11*E11)*100))</f>
        <v>#VALUE!</v>
      </c>
      <c r="J11" s="23">
        <f>IFERROR(IF(C11="comprado",E11*D11,D11*F11),"")</f>
        <v>90000</v>
      </c>
      <c r="K11" s="23" t="str">
        <f>IFERROR(IF(C11="comprado",F11*D11,E11*D11),"")</f>
        <v/>
      </c>
    </row>
    <row r="12" spans="2:11" x14ac:dyDescent="0.25">
      <c r="B12" s="21" t="s">
        <v>59</v>
      </c>
      <c r="C12" s="21" t="s">
        <v>55</v>
      </c>
      <c r="D12" s="22">
        <v>200</v>
      </c>
      <c r="E12" s="15">
        <v>16</v>
      </c>
      <c r="F12" s="15" t="str">
        <f>IF(B12="","",RTD("octo.rtdserver","",B12,"56"))</f>
        <v>-</v>
      </c>
      <c r="G12" s="17" t="str">
        <f>IF(B12="","",RTD("octo.rtdserver","",B12,"60"))</f>
        <v>-</v>
      </c>
      <c r="H12" s="16" t="str">
        <f t="shared" ref="H12:H30" si="0">IFERROR(IF(C12="comprado",(F12-E12)*D12,(E12-F12)*D12),"")</f>
        <v/>
      </c>
      <c r="I12" s="17" t="e">
        <f>IF(B12="","",(H12/(D12*E12)*100))</f>
        <v>#VALUE!</v>
      </c>
      <c r="J12" s="23">
        <f t="shared" ref="J12:J30" si="1">IFERROR(IF(C12="comprado",E12*D12,D12*F12),"")</f>
        <v>3200</v>
      </c>
      <c r="K12" s="23" t="str">
        <f t="shared" ref="K12:K30" si="2">IFERROR(IF(C12="comprado",F12*D12,E12*D12),"")</f>
        <v/>
      </c>
    </row>
    <row r="13" spans="2:11" x14ac:dyDescent="0.25">
      <c r="B13" s="21" t="s">
        <v>67</v>
      </c>
      <c r="C13" s="21" t="s">
        <v>56</v>
      </c>
      <c r="D13" s="22">
        <v>5000</v>
      </c>
      <c r="E13" s="15">
        <v>16</v>
      </c>
      <c r="F13" s="15" t="str">
        <f>IF(B13="","",RTD("octo.rtdserver","",B13,"56"))</f>
        <v>-</v>
      </c>
      <c r="G13" s="17" t="str">
        <f>IF(B13="","",RTD("octo.rtdserver","",B13,"60"))</f>
        <v>-</v>
      </c>
      <c r="H13" s="16" t="str">
        <f t="shared" si="0"/>
        <v/>
      </c>
      <c r="I13" s="17" t="e">
        <f>IF(B13="","",(H13/(D13*E13)*100))</f>
        <v>#VALUE!</v>
      </c>
      <c r="J13" s="23" t="str">
        <f t="shared" si="1"/>
        <v/>
      </c>
      <c r="K13" s="23">
        <f>IFERROR(IF(C13="comprado",F13*D13,E13*D13),"")</f>
        <v>80000</v>
      </c>
    </row>
    <row r="14" spans="2:11" x14ac:dyDescent="0.25">
      <c r="B14" s="21" t="s">
        <v>120</v>
      </c>
      <c r="C14" s="21" t="s">
        <v>55</v>
      </c>
      <c r="D14" s="22">
        <v>20000</v>
      </c>
      <c r="E14" s="15">
        <v>8</v>
      </c>
      <c r="F14" s="15" t="str">
        <f>IF(B14="","",RTD("octo.rtdserver","",B14,"56"))</f>
        <v>-</v>
      </c>
      <c r="G14" s="17" t="str">
        <f>IF(B14="","",RTD("octo.rtdserver","",B14,"60"))</f>
        <v>-</v>
      </c>
      <c r="H14" s="16" t="str">
        <f t="shared" si="0"/>
        <v/>
      </c>
      <c r="I14" s="17" t="e">
        <f t="shared" ref="I14:I30" si="3">IF(B14="","",(H14/(D14*E14)*100))</f>
        <v>#VALUE!</v>
      </c>
      <c r="J14" s="23">
        <f t="shared" si="1"/>
        <v>160000</v>
      </c>
      <c r="K14" s="23" t="str">
        <f>IFERROR(IF(C14="comprado",F14*D14,E14*D14),"")</f>
        <v/>
      </c>
    </row>
    <row r="15" spans="2:11" x14ac:dyDescent="0.25">
      <c r="B15" s="21"/>
      <c r="C15" s="21"/>
      <c r="D15" s="22"/>
      <c r="E15" s="15"/>
      <c r="F15" s="15" t="str">
        <f>IF(B15="","",RTD("octo.rtdserver","",B15,"56"))</f>
        <v/>
      </c>
      <c r="G15" s="17" t="str">
        <f>IF(B15="","",RTD("octo.rtdserver","",B15,"60"))</f>
        <v/>
      </c>
      <c r="H15" s="16" t="str">
        <f t="shared" si="0"/>
        <v/>
      </c>
      <c r="I15" s="17" t="str">
        <f t="shared" si="3"/>
        <v/>
      </c>
      <c r="J15" s="23" t="str">
        <f t="shared" si="1"/>
        <v/>
      </c>
      <c r="K15" s="23">
        <f t="shared" si="2"/>
        <v>0</v>
      </c>
    </row>
    <row r="16" spans="2:11" x14ac:dyDescent="0.25">
      <c r="B16" s="21"/>
      <c r="C16" s="21"/>
      <c r="D16" s="22"/>
      <c r="E16" s="15"/>
      <c r="F16" s="15" t="str">
        <f>IF(B16="","",RTD("octo.rtdserver","",B16,"56"))</f>
        <v/>
      </c>
      <c r="G16" s="17" t="str">
        <f>IF(B16="","",RTD("octo.rtdserver","",B16,"60"))</f>
        <v/>
      </c>
      <c r="H16" s="16" t="str">
        <f t="shared" si="0"/>
        <v/>
      </c>
      <c r="I16" s="17" t="str">
        <f t="shared" si="3"/>
        <v/>
      </c>
      <c r="J16" s="23" t="str">
        <f t="shared" si="1"/>
        <v/>
      </c>
      <c r="K16" s="23">
        <f t="shared" si="2"/>
        <v>0</v>
      </c>
    </row>
    <row r="17" spans="2:11" x14ac:dyDescent="0.25">
      <c r="B17" s="21"/>
      <c r="C17" s="21"/>
      <c r="D17" s="22"/>
      <c r="E17" s="15"/>
      <c r="F17" s="15" t="str">
        <f>IF(B17="","",RTD("octo.rtdserver","",B17,"56"))</f>
        <v/>
      </c>
      <c r="G17" s="17" t="str">
        <f>IF(B17="","",RTD("octo.rtdserver","",B17,"60"))</f>
        <v/>
      </c>
      <c r="H17" s="16" t="str">
        <f t="shared" si="0"/>
        <v/>
      </c>
      <c r="I17" s="17" t="str">
        <f t="shared" si="3"/>
        <v/>
      </c>
      <c r="J17" s="23" t="str">
        <f t="shared" si="1"/>
        <v/>
      </c>
      <c r="K17" s="23">
        <f t="shared" si="2"/>
        <v>0</v>
      </c>
    </row>
    <row r="18" spans="2:11" x14ac:dyDescent="0.25">
      <c r="B18" s="21"/>
      <c r="C18" s="21"/>
      <c r="D18" s="21"/>
      <c r="E18" s="21"/>
      <c r="F18" s="15" t="str">
        <f>IF(B18="","",RTD("octo.rtdserver","",B18,"56"))</f>
        <v/>
      </c>
      <c r="G18" s="17" t="str">
        <f>IF(B18="","",RTD("octo.rtdserver","",B18,"60"))</f>
        <v/>
      </c>
      <c r="H18" s="16" t="str">
        <f t="shared" si="0"/>
        <v/>
      </c>
      <c r="I18" s="17" t="str">
        <f t="shared" si="3"/>
        <v/>
      </c>
      <c r="J18" s="23" t="str">
        <f t="shared" si="1"/>
        <v/>
      </c>
      <c r="K18" s="23">
        <f t="shared" si="2"/>
        <v>0</v>
      </c>
    </row>
    <row r="19" spans="2:11" x14ac:dyDescent="0.25">
      <c r="B19" s="21"/>
      <c r="C19" s="21"/>
      <c r="D19" s="21"/>
      <c r="E19" s="21"/>
      <c r="F19" s="15" t="str">
        <f>IF(B19="","",RTD("octo.rtdserver","",B19,"56"))</f>
        <v/>
      </c>
      <c r="G19" s="17" t="str">
        <f>IF(B19="","",RTD("octo.rtdserver","",B19,"60"))</f>
        <v/>
      </c>
      <c r="H19" s="16" t="str">
        <f t="shared" si="0"/>
        <v/>
      </c>
      <c r="I19" s="17" t="str">
        <f t="shared" si="3"/>
        <v/>
      </c>
      <c r="J19" s="23" t="str">
        <f t="shared" si="1"/>
        <v/>
      </c>
      <c r="K19" s="23">
        <f t="shared" si="2"/>
        <v>0</v>
      </c>
    </row>
    <row r="20" spans="2:11" x14ac:dyDescent="0.25">
      <c r="B20" s="21"/>
      <c r="C20" s="21"/>
      <c r="D20" s="21"/>
      <c r="E20" s="21"/>
      <c r="F20" s="15" t="str">
        <f>IF(B20="","",RTD("octo.rtdserver","",B20,"56"))</f>
        <v/>
      </c>
      <c r="G20" s="17" t="str">
        <f>IF(B20="","",RTD("octo.rtdserver","",B20,"60"))</f>
        <v/>
      </c>
      <c r="H20" s="16" t="str">
        <f t="shared" si="0"/>
        <v/>
      </c>
      <c r="I20" s="17" t="str">
        <f t="shared" si="3"/>
        <v/>
      </c>
      <c r="J20" s="23" t="str">
        <f t="shared" si="1"/>
        <v/>
      </c>
      <c r="K20" s="23">
        <f t="shared" si="2"/>
        <v>0</v>
      </c>
    </row>
    <row r="21" spans="2:11" x14ac:dyDescent="0.25">
      <c r="B21" s="21"/>
      <c r="C21" s="21"/>
      <c r="D21" s="21"/>
      <c r="E21" s="21"/>
      <c r="F21" s="15" t="str">
        <f>IF(B21="","",RTD("octo.rtdserver","",B21,"56"))</f>
        <v/>
      </c>
      <c r="G21" s="17" t="str">
        <f>IF(B21="","",RTD("octo.rtdserver","",B21,"60"))</f>
        <v/>
      </c>
      <c r="H21" s="16" t="str">
        <f t="shared" si="0"/>
        <v/>
      </c>
      <c r="I21" s="17" t="str">
        <f t="shared" si="3"/>
        <v/>
      </c>
      <c r="J21" s="23" t="str">
        <f t="shared" si="1"/>
        <v/>
      </c>
      <c r="K21" s="23">
        <f t="shared" si="2"/>
        <v>0</v>
      </c>
    </row>
    <row r="22" spans="2:11" x14ac:dyDescent="0.25">
      <c r="B22" s="21"/>
      <c r="C22" s="21"/>
      <c r="D22" s="21"/>
      <c r="E22" s="21"/>
      <c r="F22" s="15" t="str">
        <f>IF(B22="","",RTD("octo.rtdserver","",B22,"56"))</f>
        <v/>
      </c>
      <c r="G22" s="17" t="str">
        <f>IF(B22="","",RTD("octo.rtdserver","",B22,"60"))</f>
        <v/>
      </c>
      <c r="H22" s="16" t="str">
        <f t="shared" si="0"/>
        <v/>
      </c>
      <c r="I22" s="17" t="str">
        <f t="shared" si="3"/>
        <v/>
      </c>
      <c r="J22" s="23" t="str">
        <f t="shared" si="1"/>
        <v/>
      </c>
      <c r="K22" s="23">
        <f t="shared" si="2"/>
        <v>0</v>
      </c>
    </row>
    <row r="23" spans="2:11" x14ac:dyDescent="0.25">
      <c r="B23" s="21"/>
      <c r="C23" s="21"/>
      <c r="D23" s="21"/>
      <c r="E23" s="21"/>
      <c r="F23" s="15" t="str">
        <f>IF(B23="","",RTD("octo.rtdserver","",B23,"56"))</f>
        <v/>
      </c>
      <c r="G23" s="17" t="str">
        <f>IF(B23="","",RTD("octo.rtdserver","",B23,"60"))</f>
        <v/>
      </c>
      <c r="H23" s="16" t="str">
        <f t="shared" si="0"/>
        <v/>
      </c>
      <c r="I23" s="17" t="str">
        <f t="shared" si="3"/>
        <v/>
      </c>
      <c r="J23" s="23" t="str">
        <f t="shared" si="1"/>
        <v/>
      </c>
      <c r="K23" s="23">
        <f t="shared" si="2"/>
        <v>0</v>
      </c>
    </row>
    <row r="24" spans="2:11" x14ac:dyDescent="0.25">
      <c r="B24" s="21"/>
      <c r="C24" s="21"/>
      <c r="D24" s="21"/>
      <c r="E24" s="21"/>
      <c r="F24" s="15" t="str">
        <f>IF(B24="","",RTD("octo.rtdserver","",B24,"56"))</f>
        <v/>
      </c>
      <c r="G24" s="17" t="str">
        <f>IF(B24="","",RTD("octo.rtdserver","",B24,"60"))</f>
        <v/>
      </c>
      <c r="H24" s="16" t="str">
        <f t="shared" si="0"/>
        <v/>
      </c>
      <c r="I24" s="17" t="str">
        <f t="shared" si="3"/>
        <v/>
      </c>
      <c r="J24" s="23" t="str">
        <f t="shared" si="1"/>
        <v/>
      </c>
      <c r="K24" s="23">
        <f t="shared" si="2"/>
        <v>0</v>
      </c>
    </row>
    <row r="25" spans="2:11" x14ac:dyDescent="0.25">
      <c r="B25" s="21"/>
      <c r="C25" s="21"/>
      <c r="D25" s="21"/>
      <c r="E25" s="21"/>
      <c r="F25" s="15" t="str">
        <f>IF(B25="","",RTD("octo.rtdserver","",B25,"56"))</f>
        <v/>
      </c>
      <c r="G25" s="17" t="str">
        <f>IF(B25="","",RTD("octo.rtdserver","",B25,"60"))</f>
        <v/>
      </c>
      <c r="H25" s="16" t="str">
        <f t="shared" si="0"/>
        <v/>
      </c>
      <c r="I25" s="17" t="str">
        <f t="shared" si="3"/>
        <v/>
      </c>
      <c r="J25" s="23" t="str">
        <f t="shared" si="1"/>
        <v/>
      </c>
      <c r="K25" s="23">
        <f t="shared" si="2"/>
        <v>0</v>
      </c>
    </row>
    <row r="26" spans="2:11" x14ac:dyDescent="0.25">
      <c r="B26" s="21"/>
      <c r="C26" s="21"/>
      <c r="D26" s="21"/>
      <c r="E26" s="21"/>
      <c r="F26" s="15" t="str">
        <f>IF(B26="","",RTD("octo.rtdserver","",B26,"56"))</f>
        <v/>
      </c>
      <c r="G26" s="17" t="str">
        <f>IF(B26="","",RTD("octo.rtdserver","",B26,"60"))</f>
        <v/>
      </c>
      <c r="H26" s="16" t="str">
        <f t="shared" si="0"/>
        <v/>
      </c>
      <c r="I26" s="17" t="str">
        <f t="shared" si="3"/>
        <v/>
      </c>
      <c r="J26" s="23" t="str">
        <f t="shared" si="1"/>
        <v/>
      </c>
      <c r="K26" s="23">
        <f t="shared" si="2"/>
        <v>0</v>
      </c>
    </row>
    <row r="27" spans="2:11" x14ac:dyDescent="0.25">
      <c r="B27" s="21"/>
      <c r="C27" s="21"/>
      <c r="D27" s="21"/>
      <c r="E27" s="21"/>
      <c r="F27" s="15" t="str">
        <f>IF(B27="","",RTD("octo.rtdserver","",B27,"56"))</f>
        <v/>
      </c>
      <c r="G27" s="17" t="str">
        <f>IF(B27="","",RTD("octo.rtdserver","",B27,"60"))</f>
        <v/>
      </c>
      <c r="H27" s="16" t="str">
        <f t="shared" si="0"/>
        <v/>
      </c>
      <c r="I27" s="17" t="str">
        <f t="shared" si="3"/>
        <v/>
      </c>
      <c r="J27" s="23" t="str">
        <f t="shared" si="1"/>
        <v/>
      </c>
      <c r="K27" s="23">
        <f t="shared" si="2"/>
        <v>0</v>
      </c>
    </row>
    <row r="28" spans="2:11" x14ac:dyDescent="0.25">
      <c r="B28" s="21"/>
      <c r="C28" s="21"/>
      <c r="D28" s="21"/>
      <c r="E28" s="21"/>
      <c r="F28" s="15" t="str">
        <f>IF(B28="","",RTD("octo.rtdserver","",B28,"56"))</f>
        <v/>
      </c>
      <c r="G28" s="17" t="str">
        <f>IF(B28="","",RTD("octo.rtdserver","",B28,"60"))</f>
        <v/>
      </c>
      <c r="H28" s="16" t="str">
        <f t="shared" si="0"/>
        <v/>
      </c>
      <c r="I28" s="17" t="str">
        <f t="shared" si="3"/>
        <v/>
      </c>
      <c r="J28" s="23" t="str">
        <f t="shared" si="1"/>
        <v/>
      </c>
      <c r="K28" s="23">
        <f t="shared" si="2"/>
        <v>0</v>
      </c>
    </row>
    <row r="29" spans="2:11" x14ac:dyDescent="0.25">
      <c r="B29" s="21"/>
      <c r="C29" s="21"/>
      <c r="D29" s="21"/>
      <c r="E29" s="21"/>
      <c r="F29" s="15" t="str">
        <f>IF(B29="","",RTD("octo.rtdserver","",B29,"56"))</f>
        <v/>
      </c>
      <c r="G29" s="17" t="str">
        <f>IF(B29="","",RTD("octo.rtdserver","",B29,"60"))</f>
        <v/>
      </c>
      <c r="H29" s="16" t="str">
        <f t="shared" si="0"/>
        <v/>
      </c>
      <c r="I29" s="17" t="str">
        <f t="shared" si="3"/>
        <v/>
      </c>
      <c r="J29" s="23" t="str">
        <f t="shared" si="1"/>
        <v/>
      </c>
      <c r="K29" s="23">
        <f t="shared" si="2"/>
        <v>0</v>
      </c>
    </row>
    <row r="30" spans="2:11" x14ac:dyDescent="0.25">
      <c r="B30" s="21"/>
      <c r="C30" s="21"/>
      <c r="D30" s="21"/>
      <c r="E30" s="21"/>
      <c r="F30" s="15" t="str">
        <f>IF(B30="","",RTD("octo.rtdserver","",B30,"56"))</f>
        <v/>
      </c>
      <c r="G30" s="17" t="str">
        <f>IF(B30="","",RTD("octo.rtdserver","",B30,"60"))</f>
        <v/>
      </c>
      <c r="H30" s="16" t="str">
        <f t="shared" si="0"/>
        <v/>
      </c>
      <c r="I30" s="17" t="str">
        <f t="shared" si="3"/>
        <v/>
      </c>
      <c r="J30" s="23" t="str">
        <f t="shared" si="1"/>
        <v/>
      </c>
      <c r="K30" s="23">
        <f t="shared" si="2"/>
        <v>0</v>
      </c>
    </row>
    <row r="31" spans="2:11" ht="17.25" x14ac:dyDescent="0.3">
      <c r="B31" s="62" t="s">
        <v>123</v>
      </c>
      <c r="C31" s="62"/>
      <c r="D31" s="62"/>
      <c r="E31" s="62"/>
      <c r="F31" s="62"/>
      <c r="G31" s="62"/>
      <c r="H31" s="30">
        <f>SUM(H11:H30)</f>
        <v>0</v>
      </c>
      <c r="I31" s="31">
        <f>(H31/J31)*100</f>
        <v>0</v>
      </c>
      <c r="J31" s="23">
        <f>SUM(J11:J30)</f>
        <v>253200</v>
      </c>
      <c r="K31" s="23">
        <f>SUM(K11:K30)</f>
        <v>80000</v>
      </c>
    </row>
    <row r="32" spans="2:11" x14ac:dyDescent="0.25">
      <c r="D32" s="8"/>
      <c r="E32" s="8"/>
      <c r="J32" s="23"/>
      <c r="K32" s="23"/>
    </row>
    <row r="33" spans="2:11" ht="19.5" x14ac:dyDescent="0.3">
      <c r="B33" s="63" t="s">
        <v>122</v>
      </c>
      <c r="C33" s="64"/>
      <c r="D33" s="64"/>
      <c r="E33" s="64"/>
      <c r="F33" s="64"/>
      <c r="G33" s="64"/>
      <c r="H33" s="64"/>
      <c r="I33" s="45" t="str">
        <f>Plan4!A2</f>
        <v>Mercado Aberto</v>
      </c>
      <c r="J33" s="23"/>
      <c r="K33" s="23"/>
    </row>
    <row r="34" spans="2:11" s="32" customFormat="1" x14ac:dyDescent="0.25">
      <c r="B34" s="65" t="s">
        <v>85</v>
      </c>
      <c r="C34" s="66"/>
      <c r="D34" s="67"/>
      <c r="E34" s="33" t="s">
        <v>1</v>
      </c>
      <c r="F34" s="35" t="s">
        <v>125</v>
      </c>
      <c r="G34" s="36" t="s">
        <v>124</v>
      </c>
      <c r="H34" s="37" t="s">
        <v>16</v>
      </c>
      <c r="I34" s="36" t="s">
        <v>4</v>
      </c>
      <c r="J34" s="38"/>
      <c r="K34" s="38"/>
    </row>
    <row r="35" spans="2:11" x14ac:dyDescent="0.25">
      <c r="B35" s="57"/>
      <c r="C35" s="58"/>
      <c r="D35" s="59"/>
      <c r="E35" s="21"/>
      <c r="F35" s="15"/>
      <c r="G35" s="15" t="str">
        <f>IF(Titulo="","",VLOOKUP(Titulo,Plan5!A:B,2,0)*E35)</f>
        <v/>
      </c>
      <c r="H35" s="15" t="str">
        <f>IF(Titulo="","",G35-F35)</f>
        <v/>
      </c>
      <c r="I35" s="17" t="str">
        <f>IF(Titulo="","",(H35/F35)*100)</f>
        <v/>
      </c>
      <c r="J35" s="23"/>
      <c r="K35" s="23"/>
    </row>
    <row r="36" spans="2:11" x14ac:dyDescent="0.25">
      <c r="B36" s="57"/>
      <c r="C36" s="58"/>
      <c r="D36" s="59"/>
      <c r="E36" s="21"/>
      <c r="F36" s="15"/>
      <c r="G36" s="15" t="str">
        <f>IF(B36="","",VLOOKUP(B36,Plan5!A:B,2,0)*E36)</f>
        <v/>
      </c>
      <c r="H36" s="15" t="str">
        <f>IF(B36="","",G36-F36)</f>
        <v/>
      </c>
      <c r="I36" s="17" t="str">
        <f>IF(B36="","",(H36/F36)*100)</f>
        <v/>
      </c>
      <c r="J36" s="23"/>
      <c r="K36" s="23"/>
    </row>
    <row r="37" spans="2:11" x14ac:dyDescent="0.25">
      <c r="B37" s="57"/>
      <c r="C37" s="58"/>
      <c r="D37" s="59"/>
      <c r="E37" s="21"/>
      <c r="F37" s="15"/>
      <c r="G37" s="15" t="str">
        <f>IF(B37="","",VLOOKUP(B37,Plan5!A:B,2,0)*E37)</f>
        <v/>
      </c>
      <c r="H37" s="15" t="str">
        <f t="shared" ref="H37:H45" si="4">IF(B37="","",G37-F37)</f>
        <v/>
      </c>
      <c r="I37" s="17" t="str">
        <f t="shared" ref="I37:I45" si="5">IF(B37="","",(H37/F37)*100)</f>
        <v/>
      </c>
      <c r="J37" s="23"/>
      <c r="K37" s="23"/>
    </row>
    <row r="38" spans="2:11" x14ac:dyDescent="0.25">
      <c r="B38" s="57"/>
      <c r="C38" s="58"/>
      <c r="D38" s="59"/>
      <c r="E38" s="21"/>
      <c r="F38" s="15"/>
      <c r="G38" s="15" t="str">
        <f>IF(B38="","",VLOOKUP(B38,Plan5!A:B,2,0)*E38)</f>
        <v/>
      </c>
      <c r="H38" s="15" t="str">
        <f t="shared" si="4"/>
        <v/>
      </c>
      <c r="I38" s="17" t="str">
        <f t="shared" si="5"/>
        <v/>
      </c>
      <c r="J38" s="23"/>
      <c r="K38" s="23"/>
    </row>
    <row r="39" spans="2:11" x14ac:dyDescent="0.25">
      <c r="B39" s="57"/>
      <c r="C39" s="58"/>
      <c r="D39" s="59"/>
      <c r="E39" s="21"/>
      <c r="F39" s="15"/>
      <c r="G39" s="15" t="str">
        <f>IF(B39="","",VLOOKUP(B39,Plan5!A:B,2,0)*E39)</f>
        <v/>
      </c>
      <c r="H39" s="15" t="str">
        <f t="shared" si="4"/>
        <v/>
      </c>
      <c r="I39" s="17" t="str">
        <f t="shared" si="5"/>
        <v/>
      </c>
      <c r="J39" s="23"/>
      <c r="K39" s="23"/>
    </row>
    <row r="40" spans="2:11" x14ac:dyDescent="0.25">
      <c r="B40" s="57"/>
      <c r="C40" s="58"/>
      <c r="D40" s="59"/>
      <c r="E40" s="21"/>
      <c r="F40" s="15"/>
      <c r="G40" s="15" t="str">
        <f>IF(B40="","",VLOOKUP(B40,Plan5!A:B,2,0)*E40)</f>
        <v/>
      </c>
      <c r="H40" s="15" t="str">
        <f t="shared" si="4"/>
        <v/>
      </c>
      <c r="I40" s="17" t="str">
        <f t="shared" si="5"/>
        <v/>
      </c>
      <c r="J40" s="23"/>
      <c r="K40" s="23"/>
    </row>
    <row r="41" spans="2:11" x14ac:dyDescent="0.25">
      <c r="B41" s="57"/>
      <c r="C41" s="58"/>
      <c r="D41" s="59"/>
      <c r="E41" s="21"/>
      <c r="F41" s="15"/>
      <c r="G41" s="15" t="str">
        <f>IF(B41="","",VLOOKUP(B41,Plan5!A:B,2,0)*E41)</f>
        <v/>
      </c>
      <c r="H41" s="15" t="str">
        <f t="shared" si="4"/>
        <v/>
      </c>
      <c r="I41" s="17" t="str">
        <f t="shared" si="5"/>
        <v/>
      </c>
      <c r="J41" s="23"/>
      <c r="K41" s="23"/>
    </row>
    <row r="42" spans="2:11" x14ac:dyDescent="0.25">
      <c r="B42" s="57"/>
      <c r="C42" s="58"/>
      <c r="D42" s="59"/>
      <c r="E42" s="21"/>
      <c r="F42" s="15"/>
      <c r="G42" s="15" t="str">
        <f>IF(B42="","",VLOOKUP(B42,Plan5!A:B,2,0)*E42)</f>
        <v/>
      </c>
      <c r="H42" s="15" t="str">
        <f t="shared" si="4"/>
        <v/>
      </c>
      <c r="I42" s="17" t="str">
        <f t="shared" si="5"/>
        <v/>
      </c>
      <c r="J42" s="23"/>
      <c r="K42" s="23"/>
    </row>
    <row r="43" spans="2:11" x14ac:dyDescent="0.25">
      <c r="B43" s="57"/>
      <c r="C43" s="58"/>
      <c r="D43" s="59"/>
      <c r="E43" s="21"/>
      <c r="F43" s="15"/>
      <c r="G43" s="15" t="str">
        <f>IF(B43="","",VLOOKUP(B43,Plan5!A:B,2,0)*E43)</f>
        <v/>
      </c>
      <c r="H43" s="15" t="str">
        <f t="shared" si="4"/>
        <v/>
      </c>
      <c r="I43" s="17" t="str">
        <f t="shared" si="5"/>
        <v/>
      </c>
      <c r="J43" s="23"/>
      <c r="K43" s="23"/>
    </row>
    <row r="44" spans="2:11" x14ac:dyDescent="0.25">
      <c r="B44" s="57"/>
      <c r="C44" s="58"/>
      <c r="D44" s="59"/>
      <c r="E44" s="21"/>
      <c r="F44" s="15"/>
      <c r="G44" s="15" t="str">
        <f>IF(B44="","",VLOOKUP(B44,Plan5!A:B,2,0)*E44)</f>
        <v/>
      </c>
      <c r="H44" s="15" t="str">
        <f t="shared" si="4"/>
        <v/>
      </c>
      <c r="I44" s="17" t="str">
        <f t="shared" si="5"/>
        <v/>
      </c>
      <c r="J44" s="23"/>
      <c r="K44" s="23"/>
    </row>
    <row r="45" spans="2:11" x14ac:dyDescent="0.25">
      <c r="B45" s="57"/>
      <c r="C45" s="58"/>
      <c r="D45" s="59"/>
      <c r="E45" s="21"/>
      <c r="F45" s="15"/>
      <c r="G45" s="15" t="str">
        <f>IF(B45="","",VLOOKUP(B45,Plan5!A:B,2,0)*E45)</f>
        <v/>
      </c>
      <c r="H45" s="15" t="str">
        <f t="shared" si="4"/>
        <v/>
      </c>
      <c r="I45" s="17" t="str">
        <f t="shared" si="5"/>
        <v/>
      </c>
      <c r="J45" s="23"/>
      <c r="K45" s="23"/>
    </row>
    <row r="46" spans="2:11" ht="17.25" x14ac:dyDescent="0.3">
      <c r="B46" s="40" t="s">
        <v>123</v>
      </c>
      <c r="C46" s="40"/>
      <c r="D46" s="40"/>
      <c r="E46" s="40"/>
      <c r="F46" s="41">
        <f>SUM(F35:F45)</f>
        <v>0</v>
      </c>
      <c r="G46" s="41">
        <f>SUM(G35:G45)</f>
        <v>0</v>
      </c>
      <c r="H46" s="39">
        <f>SUM(H35:H45)</f>
        <v>0</v>
      </c>
      <c r="I46" s="31" t="str">
        <f>IF(F46=0,"",(H46/F46)*100)</f>
        <v/>
      </c>
      <c r="J46" s="23"/>
      <c r="K46" s="23"/>
    </row>
    <row r="47" spans="2:11" x14ac:dyDescent="0.25">
      <c r="D47" s="8"/>
      <c r="E47" s="8"/>
      <c r="J47" s="23"/>
      <c r="K47" s="23"/>
    </row>
    <row r="48" spans="2:11" x14ac:dyDescent="0.25">
      <c r="D48" s="8"/>
      <c r="E48" s="8"/>
      <c r="J48" s="23"/>
      <c r="K48" s="23"/>
    </row>
    <row r="49" spans="4:11" x14ac:dyDescent="0.25">
      <c r="D49" s="8"/>
      <c r="E49" s="8"/>
      <c r="J49" s="23"/>
      <c r="K49" s="23"/>
    </row>
    <row r="50" spans="4:11" x14ac:dyDescent="0.25">
      <c r="D50" s="8"/>
      <c r="E50" s="8"/>
      <c r="J50" s="23"/>
      <c r="K50" s="23"/>
    </row>
    <row r="51" spans="4:11" x14ac:dyDescent="0.25">
      <c r="D51" s="8"/>
      <c r="E51" s="8"/>
      <c r="J51" s="23"/>
      <c r="K51" s="23"/>
    </row>
    <row r="52" spans="4:11" x14ac:dyDescent="0.25">
      <c r="D52" s="8"/>
      <c r="E52" s="8"/>
      <c r="J52" s="23"/>
      <c r="K52" s="23"/>
    </row>
    <row r="53" spans="4:11" x14ac:dyDescent="0.25">
      <c r="D53" s="8"/>
      <c r="E53" s="8"/>
      <c r="J53" s="23"/>
      <c r="K53" s="23"/>
    </row>
    <row r="54" spans="4:11" x14ac:dyDescent="0.25">
      <c r="D54" s="8"/>
      <c r="E54" s="8"/>
      <c r="J54" s="23"/>
      <c r="K54" s="23"/>
    </row>
    <row r="55" spans="4:11" x14ac:dyDescent="0.25">
      <c r="D55" s="8"/>
      <c r="E55" s="8"/>
      <c r="J55" s="23"/>
      <c r="K55" s="23"/>
    </row>
    <row r="56" spans="4:11" x14ac:dyDescent="0.25">
      <c r="D56" s="8"/>
      <c r="E56" s="8"/>
      <c r="J56" s="23"/>
      <c r="K56" s="23"/>
    </row>
    <row r="57" spans="4:11" x14ac:dyDescent="0.25">
      <c r="D57" s="8"/>
      <c r="E57" s="8"/>
      <c r="J57" s="23"/>
      <c r="K57" s="23"/>
    </row>
    <row r="58" spans="4:11" x14ac:dyDescent="0.25">
      <c r="D58" s="8"/>
      <c r="E58" s="8"/>
      <c r="J58" s="23"/>
      <c r="K58" s="23"/>
    </row>
    <row r="59" spans="4:11" x14ac:dyDescent="0.25">
      <c r="D59" s="8"/>
      <c r="E59" s="8"/>
      <c r="J59" s="23"/>
      <c r="K59" s="23"/>
    </row>
    <row r="60" spans="4:11" x14ac:dyDescent="0.25">
      <c r="D60" s="8"/>
      <c r="E60" s="8"/>
      <c r="J60" s="23"/>
      <c r="K60" s="23"/>
    </row>
    <row r="61" spans="4:11" x14ac:dyDescent="0.25">
      <c r="D61" s="8"/>
      <c r="E61" s="8"/>
      <c r="J61" s="23"/>
      <c r="K61" s="23"/>
    </row>
    <row r="62" spans="4:11" x14ac:dyDescent="0.25">
      <c r="D62" s="8"/>
      <c r="E62" s="8"/>
      <c r="J62" s="23"/>
      <c r="K62" s="23"/>
    </row>
    <row r="63" spans="4:11" x14ac:dyDescent="0.25">
      <c r="D63" s="8"/>
      <c r="E63" s="8"/>
      <c r="J63" s="23"/>
      <c r="K63" s="23"/>
    </row>
    <row r="64" spans="4:11" x14ac:dyDescent="0.25">
      <c r="D64" s="8"/>
      <c r="E64" s="8"/>
      <c r="J64" s="23"/>
      <c r="K64" s="23"/>
    </row>
    <row r="65" spans="4:11" x14ac:dyDescent="0.25">
      <c r="D65" s="8"/>
      <c r="E65" s="8"/>
      <c r="J65" s="23"/>
      <c r="K65" s="23"/>
    </row>
    <row r="66" spans="4:11" x14ac:dyDescent="0.25">
      <c r="D66" s="8"/>
      <c r="E66" s="8"/>
      <c r="J66" s="23"/>
      <c r="K66" s="23"/>
    </row>
    <row r="67" spans="4:11" x14ac:dyDescent="0.25">
      <c r="D67" s="8"/>
      <c r="E67" s="8"/>
      <c r="J67" s="23"/>
      <c r="K67" s="23"/>
    </row>
    <row r="68" spans="4:11" x14ac:dyDescent="0.25">
      <c r="D68" s="8"/>
      <c r="E68" s="8"/>
      <c r="J68" s="23"/>
      <c r="K68" s="23"/>
    </row>
    <row r="69" spans="4:11" x14ac:dyDescent="0.25">
      <c r="D69" s="8"/>
      <c r="E69" s="8"/>
      <c r="J69" s="23"/>
      <c r="K69" s="23"/>
    </row>
    <row r="70" spans="4:11" x14ac:dyDescent="0.25">
      <c r="D70" s="8"/>
      <c r="E70" s="8"/>
      <c r="J70" s="23"/>
      <c r="K70" s="23"/>
    </row>
    <row r="71" spans="4:11" x14ac:dyDescent="0.25">
      <c r="D71" s="8"/>
      <c r="E71" s="8"/>
      <c r="J71" s="23"/>
      <c r="K71" s="23"/>
    </row>
    <row r="72" spans="4:11" x14ac:dyDescent="0.25">
      <c r="D72" s="8"/>
      <c r="E72" s="8"/>
      <c r="J72" s="23"/>
      <c r="K72" s="23"/>
    </row>
    <row r="73" spans="4:11" x14ac:dyDescent="0.25">
      <c r="D73" s="8"/>
      <c r="E73" s="8"/>
      <c r="J73" s="23"/>
      <c r="K73" s="23"/>
    </row>
    <row r="74" spans="4:11" x14ac:dyDescent="0.25">
      <c r="D74" s="8"/>
      <c r="E74" s="8"/>
      <c r="J74" s="23"/>
      <c r="K74" s="23"/>
    </row>
    <row r="75" spans="4:11" x14ac:dyDescent="0.25">
      <c r="D75" s="8"/>
      <c r="E75" s="8"/>
      <c r="J75" s="23"/>
      <c r="K75" s="23"/>
    </row>
    <row r="76" spans="4:11" x14ac:dyDescent="0.25">
      <c r="D76" s="8"/>
      <c r="E76" s="8"/>
      <c r="J76" s="23"/>
      <c r="K76" s="23"/>
    </row>
    <row r="77" spans="4:11" x14ac:dyDescent="0.25">
      <c r="D77" s="8"/>
      <c r="E77" s="8"/>
      <c r="J77" s="23"/>
      <c r="K77" s="23"/>
    </row>
    <row r="78" spans="4:11" x14ac:dyDescent="0.25">
      <c r="D78" s="8"/>
      <c r="E78" s="8"/>
      <c r="J78" s="23"/>
      <c r="K78" s="23"/>
    </row>
    <row r="79" spans="4:11" x14ac:dyDescent="0.25">
      <c r="D79" s="8"/>
      <c r="E79" s="8"/>
      <c r="J79" s="23"/>
      <c r="K79" s="23"/>
    </row>
    <row r="80" spans="4:11" x14ac:dyDescent="0.25">
      <c r="D80" s="8"/>
      <c r="E80" s="8"/>
      <c r="J80" s="23"/>
      <c r="K80" s="23"/>
    </row>
    <row r="81" spans="4:11" x14ac:dyDescent="0.25">
      <c r="D81" s="8"/>
      <c r="E81" s="8"/>
      <c r="J81" s="23"/>
      <c r="K81" s="23"/>
    </row>
    <row r="82" spans="4:11" x14ac:dyDescent="0.25">
      <c r="D82" s="8"/>
      <c r="E82" s="8"/>
      <c r="J82" s="23"/>
      <c r="K82" s="23"/>
    </row>
    <row r="83" spans="4:11" x14ac:dyDescent="0.25">
      <c r="D83" s="8"/>
      <c r="E83" s="8"/>
      <c r="J83" s="23"/>
      <c r="K83" s="23"/>
    </row>
    <row r="84" spans="4:11" x14ac:dyDescent="0.25">
      <c r="D84" s="8"/>
      <c r="E84" s="8"/>
      <c r="J84" s="23"/>
      <c r="K84" s="23"/>
    </row>
    <row r="85" spans="4:11" x14ac:dyDescent="0.25">
      <c r="D85" s="8"/>
      <c r="E85" s="8"/>
      <c r="J85" s="23"/>
      <c r="K85" s="23"/>
    </row>
    <row r="86" spans="4:11" x14ac:dyDescent="0.25">
      <c r="D86" s="8"/>
      <c r="E86" s="8"/>
      <c r="J86" s="23"/>
      <c r="K86" s="23"/>
    </row>
    <row r="87" spans="4:11" x14ac:dyDescent="0.25">
      <c r="D87" s="8"/>
      <c r="E87" s="8"/>
      <c r="J87" s="23"/>
      <c r="K87" s="23"/>
    </row>
    <row r="88" spans="4:11" x14ac:dyDescent="0.25">
      <c r="D88" s="8"/>
      <c r="E88" s="8"/>
      <c r="J88" s="23"/>
      <c r="K88" s="23"/>
    </row>
    <row r="89" spans="4:11" x14ac:dyDescent="0.25">
      <c r="D89" s="8"/>
      <c r="E89" s="8"/>
      <c r="J89" s="23"/>
      <c r="K89" s="23"/>
    </row>
    <row r="90" spans="4:11" x14ac:dyDescent="0.25">
      <c r="D90" s="8"/>
      <c r="E90" s="8"/>
      <c r="J90" s="23"/>
      <c r="K90" s="23"/>
    </row>
    <row r="91" spans="4:11" x14ac:dyDescent="0.25">
      <c r="D91" s="8"/>
      <c r="E91" s="8"/>
      <c r="J91" s="23"/>
      <c r="K91" s="23"/>
    </row>
    <row r="92" spans="4:11" x14ac:dyDescent="0.25">
      <c r="D92" s="8"/>
      <c r="E92" s="8"/>
      <c r="J92" s="23"/>
      <c r="K92" s="23"/>
    </row>
    <row r="93" spans="4:11" x14ac:dyDescent="0.25">
      <c r="D93" s="8"/>
      <c r="E93" s="8"/>
      <c r="J93" s="23"/>
      <c r="K93" s="23"/>
    </row>
    <row r="94" spans="4:11" x14ac:dyDescent="0.25">
      <c r="D94" s="8"/>
      <c r="E94" s="8"/>
      <c r="J94" s="23"/>
      <c r="K94" s="23"/>
    </row>
    <row r="95" spans="4:11" x14ac:dyDescent="0.25">
      <c r="D95" s="8"/>
      <c r="E95" s="8"/>
      <c r="J95" s="23"/>
      <c r="K95" s="23"/>
    </row>
    <row r="96" spans="4:11" x14ac:dyDescent="0.25">
      <c r="D96" s="8"/>
      <c r="E96" s="8"/>
      <c r="J96" s="23"/>
      <c r="K96" s="23"/>
    </row>
    <row r="97" spans="4:11" x14ac:dyDescent="0.25">
      <c r="D97" s="8"/>
      <c r="E97" s="8"/>
      <c r="J97" s="23"/>
      <c r="K97" s="23"/>
    </row>
    <row r="98" spans="4:11" x14ac:dyDescent="0.25">
      <c r="D98" s="8"/>
      <c r="E98" s="8"/>
      <c r="J98" s="23"/>
      <c r="K98" s="23"/>
    </row>
    <row r="99" spans="4:11" x14ac:dyDescent="0.25">
      <c r="D99" s="8"/>
      <c r="E99" s="8"/>
      <c r="J99" s="23"/>
      <c r="K99" s="23"/>
    </row>
    <row r="100" spans="4:11" x14ac:dyDescent="0.25">
      <c r="D100" s="8"/>
      <c r="E100" s="8"/>
      <c r="J100" s="23"/>
      <c r="K100" s="23"/>
    </row>
    <row r="101" spans="4:11" x14ac:dyDescent="0.25">
      <c r="D101" s="8"/>
      <c r="E101" s="8"/>
      <c r="J101" s="23"/>
      <c r="K101" s="23"/>
    </row>
    <row r="102" spans="4:11" x14ac:dyDescent="0.25">
      <c r="D102" s="8"/>
      <c r="E102" s="8"/>
      <c r="J102" s="23"/>
      <c r="K102" s="23"/>
    </row>
    <row r="103" spans="4:11" x14ac:dyDescent="0.25">
      <c r="D103" s="8"/>
      <c r="E103" s="8"/>
      <c r="J103" s="23"/>
      <c r="K103" s="23"/>
    </row>
    <row r="104" spans="4:11" x14ac:dyDescent="0.25">
      <c r="D104" s="8"/>
      <c r="E104" s="8"/>
      <c r="J104" s="23"/>
      <c r="K104" s="23"/>
    </row>
    <row r="105" spans="4:11" x14ac:dyDescent="0.25">
      <c r="D105" s="8"/>
      <c r="E105" s="8"/>
      <c r="J105" s="23"/>
      <c r="K105" s="23"/>
    </row>
    <row r="106" spans="4:11" x14ac:dyDescent="0.25">
      <c r="D106" s="8"/>
      <c r="E106" s="8"/>
      <c r="J106" s="23"/>
      <c r="K106" s="23"/>
    </row>
    <row r="107" spans="4:11" x14ac:dyDescent="0.25">
      <c r="D107" s="8"/>
      <c r="E107" s="8"/>
      <c r="J107" s="23"/>
      <c r="K107" s="23"/>
    </row>
    <row r="108" spans="4:11" x14ac:dyDescent="0.25">
      <c r="D108" s="8"/>
      <c r="E108" s="8"/>
      <c r="J108" s="23"/>
      <c r="K108" s="23"/>
    </row>
    <row r="109" spans="4:11" x14ac:dyDescent="0.25">
      <c r="D109" s="8"/>
      <c r="E109" s="8"/>
      <c r="J109" s="23"/>
      <c r="K109" s="23"/>
    </row>
    <row r="110" spans="4:11" x14ac:dyDescent="0.25">
      <c r="D110" s="8"/>
      <c r="E110" s="8"/>
      <c r="J110" s="23"/>
      <c r="K110" s="23"/>
    </row>
    <row r="111" spans="4:11" x14ac:dyDescent="0.25">
      <c r="D111" s="8"/>
      <c r="E111" s="8"/>
      <c r="J111" s="23"/>
      <c r="K111" s="23"/>
    </row>
    <row r="112" spans="4:11" x14ac:dyDescent="0.25">
      <c r="D112" s="8"/>
      <c r="E112" s="8"/>
      <c r="J112" s="23"/>
      <c r="K112" s="23"/>
    </row>
    <row r="113" spans="4:11" x14ac:dyDescent="0.25">
      <c r="D113" s="8"/>
      <c r="E113" s="8"/>
      <c r="J113" s="23"/>
      <c r="K113" s="23"/>
    </row>
    <row r="114" spans="4:11" x14ac:dyDescent="0.25">
      <c r="D114" s="8"/>
      <c r="E114" s="8"/>
      <c r="J114" s="23"/>
      <c r="K114" s="23"/>
    </row>
    <row r="115" spans="4:11" x14ac:dyDescent="0.25">
      <c r="D115" s="8"/>
      <c r="E115" s="8"/>
      <c r="J115" s="23"/>
      <c r="K115" s="23"/>
    </row>
    <row r="116" spans="4:11" x14ac:dyDescent="0.25">
      <c r="D116" s="8"/>
      <c r="E116" s="8"/>
      <c r="J116" s="23"/>
      <c r="K116" s="23"/>
    </row>
    <row r="117" spans="4:11" x14ac:dyDescent="0.25">
      <c r="D117" s="8"/>
      <c r="E117" s="8"/>
      <c r="J117" s="23"/>
      <c r="K117" s="23"/>
    </row>
    <row r="118" spans="4:11" x14ac:dyDescent="0.25">
      <c r="D118" s="8"/>
      <c r="E118" s="8"/>
      <c r="J118" s="23"/>
      <c r="K118" s="23"/>
    </row>
    <row r="119" spans="4:11" x14ac:dyDescent="0.25">
      <c r="D119" s="8"/>
      <c r="E119" s="8"/>
      <c r="J119" s="23"/>
      <c r="K119" s="23"/>
    </row>
    <row r="120" spans="4:11" x14ac:dyDescent="0.25">
      <c r="D120" s="8"/>
      <c r="E120" s="8"/>
      <c r="J120" s="23"/>
      <c r="K120" s="23"/>
    </row>
    <row r="121" spans="4:11" x14ac:dyDescent="0.25">
      <c r="D121" s="8"/>
      <c r="E121" s="8"/>
      <c r="J121" s="23"/>
      <c r="K121" s="23"/>
    </row>
    <row r="122" spans="4:11" x14ac:dyDescent="0.25">
      <c r="D122" s="8"/>
      <c r="E122" s="8"/>
      <c r="J122" s="23"/>
      <c r="K122" s="23"/>
    </row>
    <row r="123" spans="4:11" x14ac:dyDescent="0.25">
      <c r="D123" s="8"/>
      <c r="E123" s="8"/>
      <c r="J123" s="23"/>
      <c r="K123" s="23"/>
    </row>
    <row r="124" spans="4:11" x14ac:dyDescent="0.25">
      <c r="D124" s="8"/>
      <c r="E124" s="8"/>
      <c r="J124" s="23"/>
      <c r="K124" s="23"/>
    </row>
    <row r="125" spans="4:11" x14ac:dyDescent="0.25">
      <c r="D125" s="8"/>
      <c r="E125" s="8"/>
      <c r="J125" s="23"/>
      <c r="K125" s="23"/>
    </row>
    <row r="126" spans="4:11" x14ac:dyDescent="0.25">
      <c r="D126" s="8"/>
      <c r="E126" s="8"/>
      <c r="J126" s="23"/>
      <c r="K126" s="23"/>
    </row>
    <row r="127" spans="4:11" x14ac:dyDescent="0.25">
      <c r="D127" s="8"/>
      <c r="E127" s="8"/>
      <c r="J127" s="23"/>
      <c r="K127" s="23"/>
    </row>
    <row r="128" spans="4:11" x14ac:dyDescent="0.25">
      <c r="D128" s="8"/>
      <c r="E128" s="8"/>
      <c r="J128" s="23"/>
      <c r="K128" s="23"/>
    </row>
    <row r="129" spans="4:11" x14ac:dyDescent="0.25">
      <c r="D129" s="8"/>
      <c r="E129" s="8"/>
      <c r="J129" s="23"/>
      <c r="K129" s="23"/>
    </row>
    <row r="130" spans="4:11" x14ac:dyDescent="0.25">
      <c r="D130" s="8"/>
      <c r="E130" s="8"/>
      <c r="J130" s="23"/>
      <c r="K130" s="23"/>
    </row>
    <row r="131" spans="4:11" x14ac:dyDescent="0.25">
      <c r="D131" s="8"/>
      <c r="E131" s="8"/>
      <c r="J131" s="23"/>
      <c r="K131" s="23"/>
    </row>
    <row r="132" spans="4:11" x14ac:dyDescent="0.25">
      <c r="D132" s="8"/>
      <c r="E132" s="8"/>
      <c r="J132" s="23"/>
      <c r="K132" s="23"/>
    </row>
    <row r="133" spans="4:11" x14ac:dyDescent="0.25">
      <c r="D133" s="8"/>
      <c r="E133" s="8"/>
      <c r="J133" s="23"/>
      <c r="K133" s="23"/>
    </row>
    <row r="134" spans="4:11" x14ac:dyDescent="0.25">
      <c r="D134" s="8"/>
      <c r="E134" s="8"/>
      <c r="J134" s="23"/>
      <c r="K134" s="23"/>
    </row>
    <row r="135" spans="4:11" x14ac:dyDescent="0.25">
      <c r="D135" s="8"/>
      <c r="E135" s="8"/>
      <c r="J135" s="23"/>
      <c r="K135" s="23"/>
    </row>
    <row r="136" spans="4:11" x14ac:dyDescent="0.25">
      <c r="D136" s="8"/>
      <c r="E136" s="8"/>
      <c r="J136" s="23"/>
      <c r="K136" s="23"/>
    </row>
    <row r="137" spans="4:11" x14ac:dyDescent="0.25">
      <c r="D137" s="8"/>
      <c r="E137" s="8"/>
      <c r="J137" s="23"/>
      <c r="K137" s="23"/>
    </row>
    <row r="138" spans="4:11" x14ac:dyDescent="0.25">
      <c r="D138" s="8"/>
      <c r="E138" s="8"/>
      <c r="J138" s="23"/>
      <c r="K138" s="23"/>
    </row>
    <row r="139" spans="4:11" x14ac:dyDescent="0.25">
      <c r="D139" s="8"/>
      <c r="E139" s="8"/>
      <c r="J139" s="23"/>
      <c r="K139" s="23"/>
    </row>
    <row r="140" spans="4:11" x14ac:dyDescent="0.25">
      <c r="D140" s="8"/>
      <c r="E140" s="8"/>
      <c r="J140" s="23"/>
      <c r="K140" s="23"/>
    </row>
    <row r="141" spans="4:11" x14ac:dyDescent="0.25">
      <c r="D141" s="8"/>
      <c r="E141" s="8"/>
      <c r="J141" s="23"/>
      <c r="K141" s="23"/>
    </row>
    <row r="142" spans="4:11" x14ac:dyDescent="0.25">
      <c r="D142" s="8"/>
      <c r="E142" s="8"/>
      <c r="J142" s="23"/>
      <c r="K142" s="23"/>
    </row>
    <row r="143" spans="4:11" x14ac:dyDescent="0.25">
      <c r="D143" s="8"/>
      <c r="E143" s="8"/>
      <c r="J143" s="23"/>
      <c r="K143" s="23"/>
    </row>
    <row r="144" spans="4:11" x14ac:dyDescent="0.25">
      <c r="D144" s="8"/>
      <c r="E144" s="8"/>
      <c r="J144" s="23"/>
      <c r="K144" s="23"/>
    </row>
    <row r="145" spans="4:11" x14ac:dyDescent="0.25">
      <c r="D145" s="8"/>
      <c r="E145" s="8"/>
      <c r="J145" s="23"/>
      <c r="K145" s="23"/>
    </row>
    <row r="146" spans="4:11" x14ac:dyDescent="0.25">
      <c r="D146" s="8"/>
      <c r="E146" s="8"/>
      <c r="J146" s="23"/>
      <c r="K146" s="23"/>
    </row>
    <row r="147" spans="4:11" x14ac:dyDescent="0.25">
      <c r="D147" s="8"/>
      <c r="E147" s="8"/>
      <c r="J147" s="23"/>
      <c r="K147" s="23"/>
    </row>
    <row r="148" spans="4:11" x14ac:dyDescent="0.25">
      <c r="D148" s="8"/>
      <c r="E148" s="8"/>
      <c r="J148" s="23"/>
      <c r="K148" s="23"/>
    </row>
    <row r="149" spans="4:11" x14ac:dyDescent="0.25">
      <c r="D149" s="8"/>
      <c r="E149" s="8"/>
      <c r="J149" s="23"/>
      <c r="K149" s="23"/>
    </row>
    <row r="150" spans="4:11" x14ac:dyDescent="0.25">
      <c r="D150" s="8"/>
      <c r="E150" s="8"/>
      <c r="J150" s="23"/>
      <c r="K150" s="23"/>
    </row>
    <row r="151" spans="4:11" x14ac:dyDescent="0.25">
      <c r="D151" s="8"/>
      <c r="E151" s="8"/>
      <c r="J151" s="23"/>
      <c r="K151" s="23"/>
    </row>
    <row r="152" spans="4:11" x14ac:dyDescent="0.25">
      <c r="D152" s="8"/>
      <c r="E152" s="8"/>
      <c r="J152" s="23"/>
      <c r="K152" s="23"/>
    </row>
    <row r="153" spans="4:11" x14ac:dyDescent="0.25">
      <c r="D153" s="8"/>
      <c r="E153" s="8"/>
      <c r="J153" s="23"/>
      <c r="K153" s="23"/>
    </row>
    <row r="154" spans="4:11" x14ac:dyDescent="0.25">
      <c r="D154" s="8"/>
      <c r="E154" s="8"/>
      <c r="J154" s="23"/>
      <c r="K154" s="23"/>
    </row>
    <row r="155" spans="4:11" x14ac:dyDescent="0.25">
      <c r="D155" s="8"/>
      <c r="E155" s="8"/>
      <c r="J155" s="23"/>
      <c r="K155" s="23"/>
    </row>
    <row r="156" spans="4:11" x14ac:dyDescent="0.25">
      <c r="D156" s="8"/>
      <c r="E156" s="8"/>
      <c r="J156" s="23"/>
      <c r="K156" s="23"/>
    </row>
    <row r="157" spans="4:11" x14ac:dyDescent="0.25">
      <c r="D157" s="8"/>
      <c r="E157" s="8"/>
      <c r="J157" s="23"/>
      <c r="K157" s="23"/>
    </row>
    <row r="158" spans="4:11" x14ac:dyDescent="0.25">
      <c r="D158" s="8"/>
      <c r="E158" s="8"/>
      <c r="J158" s="23"/>
      <c r="K158" s="23"/>
    </row>
    <row r="159" spans="4:11" x14ac:dyDescent="0.25">
      <c r="D159" s="8"/>
      <c r="E159" s="8"/>
      <c r="J159" s="23"/>
      <c r="K159" s="23"/>
    </row>
    <row r="160" spans="4:11" x14ac:dyDescent="0.25">
      <c r="D160" s="8"/>
      <c r="E160" s="8"/>
      <c r="J160" s="23"/>
      <c r="K160" s="23"/>
    </row>
    <row r="161" spans="4:11" x14ac:dyDescent="0.25">
      <c r="D161" s="8"/>
      <c r="E161" s="8"/>
      <c r="J161" s="23"/>
      <c r="K161" s="23"/>
    </row>
    <row r="162" spans="4:11" x14ac:dyDescent="0.25">
      <c r="D162" s="8"/>
      <c r="E162" s="8"/>
      <c r="J162" s="23"/>
      <c r="K162" s="23"/>
    </row>
    <row r="163" spans="4:11" x14ac:dyDescent="0.25">
      <c r="D163" s="8"/>
      <c r="E163" s="8"/>
      <c r="J163" s="23"/>
      <c r="K163" s="23"/>
    </row>
    <row r="164" spans="4:11" x14ac:dyDescent="0.25">
      <c r="D164" s="8"/>
      <c r="E164" s="8"/>
      <c r="J164" s="23"/>
      <c r="K164" s="23"/>
    </row>
    <row r="165" spans="4:11" x14ac:dyDescent="0.25">
      <c r="D165" s="8"/>
      <c r="E165" s="8"/>
      <c r="J165" s="23"/>
      <c r="K165" s="23"/>
    </row>
    <row r="166" spans="4:11" x14ac:dyDescent="0.25">
      <c r="D166" s="8"/>
      <c r="E166" s="8"/>
      <c r="J166" s="23"/>
      <c r="K166" s="23"/>
    </row>
    <row r="167" spans="4:11" x14ac:dyDescent="0.25">
      <c r="D167" s="8"/>
      <c r="E167" s="8"/>
      <c r="J167" s="23"/>
      <c r="K167" s="23"/>
    </row>
    <row r="168" spans="4:11" x14ac:dyDescent="0.25">
      <c r="D168" s="8"/>
      <c r="E168" s="8"/>
      <c r="J168" s="23"/>
      <c r="K168" s="23"/>
    </row>
    <row r="169" spans="4:11" x14ac:dyDescent="0.25">
      <c r="D169" s="8"/>
      <c r="E169" s="8"/>
      <c r="J169" s="23"/>
      <c r="K169" s="23"/>
    </row>
    <row r="170" spans="4:11" x14ac:dyDescent="0.25">
      <c r="D170" s="8"/>
      <c r="E170" s="8"/>
      <c r="J170" s="23"/>
      <c r="K170" s="23"/>
    </row>
    <row r="171" spans="4:11" x14ac:dyDescent="0.25">
      <c r="D171" s="8"/>
      <c r="E171" s="8"/>
      <c r="J171" s="23"/>
      <c r="K171" s="23"/>
    </row>
    <row r="172" spans="4:11" x14ac:dyDescent="0.25">
      <c r="D172" s="8"/>
      <c r="E172" s="8"/>
      <c r="J172" s="23"/>
      <c r="K172" s="23"/>
    </row>
    <row r="173" spans="4:11" x14ac:dyDescent="0.25">
      <c r="D173" s="8"/>
      <c r="E173" s="8"/>
      <c r="J173" s="23"/>
      <c r="K173" s="23"/>
    </row>
    <row r="174" spans="4:11" x14ac:dyDescent="0.25">
      <c r="D174" s="8"/>
      <c r="E174" s="8"/>
      <c r="J174" s="23"/>
      <c r="K174" s="23"/>
    </row>
    <row r="175" spans="4:11" x14ac:dyDescent="0.25">
      <c r="D175" s="8"/>
      <c r="E175" s="8"/>
      <c r="J175" s="23"/>
      <c r="K175" s="23"/>
    </row>
    <row r="176" spans="4:11" x14ac:dyDescent="0.25">
      <c r="D176" s="8"/>
      <c r="E176" s="8"/>
      <c r="J176" s="23"/>
      <c r="K176" s="23"/>
    </row>
    <row r="177" spans="4:11" x14ac:dyDescent="0.25">
      <c r="D177" s="8"/>
      <c r="E177" s="8"/>
      <c r="J177" s="23"/>
      <c r="K177" s="23"/>
    </row>
    <row r="178" spans="4:11" x14ac:dyDescent="0.25">
      <c r="D178" s="8"/>
      <c r="E178" s="8"/>
      <c r="J178" s="23"/>
      <c r="K178" s="23"/>
    </row>
    <row r="179" spans="4:11" x14ac:dyDescent="0.25">
      <c r="D179" s="8"/>
      <c r="E179" s="8"/>
      <c r="J179" s="23"/>
      <c r="K179" s="23"/>
    </row>
    <row r="180" spans="4:11" x14ac:dyDescent="0.25">
      <c r="D180" s="8"/>
      <c r="E180" s="8"/>
      <c r="J180" s="23"/>
      <c r="K180" s="23"/>
    </row>
    <row r="181" spans="4:11" x14ac:dyDescent="0.25">
      <c r="D181" s="8"/>
      <c r="E181" s="8"/>
      <c r="J181" s="23"/>
      <c r="K181" s="23"/>
    </row>
    <row r="182" spans="4:11" x14ac:dyDescent="0.25">
      <c r="D182" s="8"/>
      <c r="E182" s="8"/>
      <c r="J182" s="23"/>
      <c r="K182" s="23"/>
    </row>
    <row r="183" spans="4:11" x14ac:dyDescent="0.25">
      <c r="D183" s="8"/>
      <c r="E183" s="8"/>
      <c r="J183" s="23"/>
      <c r="K183" s="23"/>
    </row>
    <row r="184" spans="4:11" x14ac:dyDescent="0.25">
      <c r="D184" s="8"/>
      <c r="E184" s="8"/>
      <c r="J184" s="23"/>
      <c r="K184" s="23"/>
    </row>
    <row r="185" spans="4:11" x14ac:dyDescent="0.25">
      <c r="D185" s="8"/>
      <c r="E185" s="8"/>
      <c r="J185" s="23"/>
      <c r="K185" s="23"/>
    </row>
    <row r="186" spans="4:11" x14ac:dyDescent="0.25">
      <c r="D186" s="8"/>
      <c r="E186" s="8"/>
      <c r="J186" s="23"/>
      <c r="K186" s="23"/>
    </row>
    <row r="187" spans="4:11" x14ac:dyDescent="0.25">
      <c r="D187" s="8"/>
      <c r="E187" s="8"/>
      <c r="J187" s="23"/>
      <c r="K187" s="23"/>
    </row>
    <row r="188" spans="4:11" x14ac:dyDescent="0.25">
      <c r="D188" s="8"/>
      <c r="E188" s="8"/>
      <c r="J188" s="23"/>
      <c r="K188" s="23"/>
    </row>
    <row r="189" spans="4:11" x14ac:dyDescent="0.25">
      <c r="D189" s="8"/>
      <c r="E189" s="8"/>
      <c r="J189" s="23"/>
      <c r="K189" s="23"/>
    </row>
    <row r="190" spans="4:11" x14ac:dyDescent="0.25">
      <c r="D190" s="8"/>
      <c r="E190" s="8"/>
      <c r="J190" s="23"/>
      <c r="K190" s="23"/>
    </row>
    <row r="191" spans="4:11" x14ac:dyDescent="0.25">
      <c r="D191" s="8"/>
      <c r="E191" s="8"/>
      <c r="J191" s="23"/>
      <c r="K191" s="23"/>
    </row>
    <row r="192" spans="4:11" x14ac:dyDescent="0.25">
      <c r="D192" s="8"/>
      <c r="E192" s="8"/>
      <c r="J192" s="23"/>
      <c r="K192" s="23"/>
    </row>
    <row r="193" spans="4:11" x14ac:dyDescent="0.25">
      <c r="D193" s="8"/>
      <c r="E193" s="8"/>
      <c r="J193" s="23"/>
      <c r="K193" s="23"/>
    </row>
    <row r="194" spans="4:11" x14ac:dyDescent="0.25">
      <c r="D194" s="8"/>
      <c r="E194" s="8"/>
      <c r="J194" s="23"/>
      <c r="K194" s="23"/>
    </row>
    <row r="195" spans="4:11" x14ac:dyDescent="0.25">
      <c r="D195" s="8"/>
      <c r="E195" s="8"/>
      <c r="J195" s="23"/>
      <c r="K195" s="23"/>
    </row>
    <row r="196" spans="4:11" x14ac:dyDescent="0.25">
      <c r="D196" s="8"/>
      <c r="E196" s="8"/>
      <c r="J196" s="23"/>
      <c r="K196" s="23"/>
    </row>
    <row r="197" spans="4:11" x14ac:dyDescent="0.25">
      <c r="D197" s="8"/>
      <c r="E197" s="8"/>
      <c r="J197" s="23"/>
      <c r="K197" s="23"/>
    </row>
    <row r="198" spans="4:11" x14ac:dyDescent="0.25">
      <c r="D198" s="8"/>
      <c r="E198" s="8"/>
      <c r="J198" s="23"/>
      <c r="K198" s="23"/>
    </row>
    <row r="199" spans="4:11" x14ac:dyDescent="0.25">
      <c r="D199" s="8"/>
      <c r="E199" s="8"/>
      <c r="J199" s="23"/>
      <c r="K199" s="23"/>
    </row>
    <row r="200" spans="4:11" x14ac:dyDescent="0.25">
      <c r="D200" s="8"/>
      <c r="E200" s="8"/>
      <c r="J200" s="23"/>
      <c r="K200" s="23"/>
    </row>
    <row r="201" spans="4:11" x14ac:dyDescent="0.25">
      <c r="D201" s="8"/>
      <c r="E201" s="8"/>
      <c r="J201" s="23"/>
      <c r="K201" s="23"/>
    </row>
    <row r="202" spans="4:11" x14ac:dyDescent="0.25">
      <c r="D202" s="8"/>
      <c r="E202" s="8"/>
      <c r="J202" s="23"/>
      <c r="K202" s="23"/>
    </row>
    <row r="203" spans="4:11" x14ac:dyDescent="0.25">
      <c r="D203" s="8"/>
      <c r="E203" s="8"/>
      <c r="J203" s="23"/>
      <c r="K203" s="23"/>
    </row>
    <row r="204" spans="4:11" x14ac:dyDescent="0.25">
      <c r="D204" s="8"/>
      <c r="E204" s="8"/>
      <c r="J204" s="23"/>
      <c r="K204" s="23"/>
    </row>
    <row r="205" spans="4:11" x14ac:dyDescent="0.25">
      <c r="D205" s="8"/>
      <c r="E205" s="8"/>
      <c r="J205" s="23"/>
      <c r="K205" s="23"/>
    </row>
    <row r="206" spans="4:11" x14ac:dyDescent="0.25">
      <c r="D206" s="8"/>
      <c r="E206" s="8"/>
      <c r="J206" s="23"/>
      <c r="K206" s="23"/>
    </row>
    <row r="207" spans="4:11" x14ac:dyDescent="0.25">
      <c r="D207" s="8"/>
      <c r="E207" s="8"/>
      <c r="J207" s="23"/>
      <c r="K207" s="23"/>
    </row>
    <row r="208" spans="4:11" x14ac:dyDescent="0.25">
      <c r="D208" s="8"/>
      <c r="E208" s="8"/>
      <c r="J208" s="23"/>
      <c r="K208" s="23"/>
    </row>
    <row r="209" spans="4:11" x14ac:dyDescent="0.25">
      <c r="D209" s="8"/>
      <c r="E209" s="8"/>
      <c r="J209" s="23"/>
      <c r="K209" s="23"/>
    </row>
    <row r="210" spans="4:11" x14ac:dyDescent="0.25">
      <c r="D210" s="8"/>
      <c r="E210" s="8"/>
      <c r="J210" s="23"/>
      <c r="K210" s="23"/>
    </row>
    <row r="211" spans="4:11" x14ac:dyDescent="0.25">
      <c r="D211" s="8"/>
      <c r="E211" s="8"/>
      <c r="J211" s="23"/>
      <c r="K211" s="23"/>
    </row>
    <row r="212" spans="4:11" x14ac:dyDescent="0.25">
      <c r="D212" s="8"/>
      <c r="E212" s="8"/>
      <c r="J212" s="23"/>
      <c r="K212" s="23"/>
    </row>
    <row r="213" spans="4:11" x14ac:dyDescent="0.25">
      <c r="D213" s="8"/>
      <c r="E213" s="8"/>
      <c r="J213" s="23"/>
      <c r="K213" s="23"/>
    </row>
    <row r="214" spans="4:11" x14ac:dyDescent="0.25">
      <c r="D214" s="8"/>
      <c r="E214" s="8"/>
      <c r="J214" s="23"/>
      <c r="K214" s="23"/>
    </row>
    <row r="215" spans="4:11" x14ac:dyDescent="0.25">
      <c r="D215" s="8"/>
      <c r="E215" s="8"/>
      <c r="J215" s="23"/>
      <c r="K215" s="23"/>
    </row>
    <row r="216" spans="4:11" x14ac:dyDescent="0.25">
      <c r="D216" s="8"/>
      <c r="E216" s="8"/>
      <c r="J216" s="23"/>
      <c r="K216" s="23"/>
    </row>
    <row r="217" spans="4:11" x14ac:dyDescent="0.25">
      <c r="D217" s="8"/>
      <c r="E217" s="8"/>
      <c r="J217" s="23"/>
      <c r="K217" s="23"/>
    </row>
    <row r="218" spans="4:11" x14ac:dyDescent="0.25">
      <c r="D218" s="8"/>
      <c r="E218" s="8"/>
      <c r="J218" s="23"/>
      <c r="K218" s="23"/>
    </row>
    <row r="219" spans="4:11" x14ac:dyDescent="0.25">
      <c r="D219" s="8"/>
      <c r="E219" s="8"/>
      <c r="J219" s="23"/>
      <c r="K219" s="23"/>
    </row>
    <row r="220" spans="4:11" x14ac:dyDescent="0.25">
      <c r="D220" s="8"/>
      <c r="E220" s="8"/>
      <c r="J220" s="23"/>
      <c r="K220" s="23"/>
    </row>
    <row r="221" spans="4:11" x14ac:dyDescent="0.25">
      <c r="D221" s="8"/>
      <c r="E221" s="8"/>
      <c r="J221" s="23"/>
      <c r="K221" s="23"/>
    </row>
    <row r="222" spans="4:11" x14ac:dyDescent="0.25">
      <c r="D222" s="8"/>
      <c r="E222" s="8"/>
      <c r="J222" s="23"/>
      <c r="K222" s="23"/>
    </row>
    <row r="223" spans="4:11" x14ac:dyDescent="0.25">
      <c r="D223" s="8"/>
      <c r="E223" s="8"/>
      <c r="J223" s="23"/>
      <c r="K223" s="23"/>
    </row>
    <row r="224" spans="4:11" x14ac:dyDescent="0.25">
      <c r="D224" s="8"/>
      <c r="E224" s="8"/>
      <c r="J224" s="23"/>
      <c r="K224" s="23"/>
    </row>
    <row r="225" spans="4:11" x14ac:dyDescent="0.25">
      <c r="D225" s="8"/>
      <c r="E225" s="8"/>
      <c r="J225" s="23"/>
      <c r="K225" s="23"/>
    </row>
    <row r="226" spans="4:11" x14ac:dyDescent="0.25">
      <c r="D226" s="8"/>
      <c r="E226" s="8"/>
      <c r="J226" s="23"/>
      <c r="K226" s="23"/>
    </row>
    <row r="227" spans="4:11" x14ac:dyDescent="0.25">
      <c r="D227" s="8"/>
      <c r="E227" s="8"/>
      <c r="J227" s="23"/>
      <c r="K227" s="23"/>
    </row>
    <row r="228" spans="4:11" x14ac:dyDescent="0.25">
      <c r="D228" s="8"/>
      <c r="E228" s="8"/>
      <c r="J228" s="23"/>
      <c r="K228" s="23"/>
    </row>
    <row r="229" spans="4:11" x14ac:dyDescent="0.25">
      <c r="D229" s="8"/>
      <c r="E229" s="8"/>
      <c r="J229" s="23"/>
      <c r="K229" s="23"/>
    </row>
    <row r="230" spans="4:11" x14ac:dyDescent="0.25">
      <c r="D230" s="8"/>
      <c r="E230" s="8"/>
      <c r="J230" s="23"/>
      <c r="K230" s="23"/>
    </row>
    <row r="231" spans="4:11" x14ac:dyDescent="0.25">
      <c r="D231" s="8"/>
      <c r="E231" s="8"/>
      <c r="J231" s="23"/>
      <c r="K231" s="23"/>
    </row>
    <row r="232" spans="4:11" x14ac:dyDescent="0.25">
      <c r="D232" s="8"/>
      <c r="E232" s="8"/>
      <c r="J232" s="23"/>
      <c r="K232" s="23"/>
    </row>
    <row r="233" spans="4:11" x14ac:dyDescent="0.25">
      <c r="D233" s="8"/>
      <c r="E233" s="8"/>
      <c r="J233" s="23"/>
      <c r="K233" s="23"/>
    </row>
    <row r="234" spans="4:11" x14ac:dyDescent="0.25">
      <c r="D234" s="8"/>
      <c r="E234" s="8"/>
      <c r="J234" s="23"/>
      <c r="K234" s="23"/>
    </row>
    <row r="235" spans="4:11" x14ac:dyDescent="0.25">
      <c r="D235" s="8"/>
      <c r="E235" s="8"/>
      <c r="J235" s="23"/>
      <c r="K235" s="23"/>
    </row>
    <row r="236" spans="4:11" x14ac:dyDescent="0.25">
      <c r="D236" s="8"/>
      <c r="E236" s="8"/>
      <c r="J236" s="23"/>
      <c r="K236" s="23"/>
    </row>
    <row r="237" spans="4:11" x14ac:dyDescent="0.25">
      <c r="D237" s="8"/>
      <c r="E237" s="8"/>
      <c r="J237" s="23"/>
      <c r="K237" s="23"/>
    </row>
    <row r="238" spans="4:11" x14ac:dyDescent="0.25">
      <c r="D238" s="8"/>
      <c r="E238" s="8"/>
      <c r="J238" s="23"/>
      <c r="K238" s="23"/>
    </row>
    <row r="239" spans="4:11" x14ac:dyDescent="0.25">
      <c r="D239" s="8"/>
      <c r="E239" s="8"/>
      <c r="J239" s="23"/>
      <c r="K239" s="23"/>
    </row>
    <row r="240" spans="4:11" x14ac:dyDescent="0.25">
      <c r="D240" s="8"/>
      <c r="E240" s="8"/>
      <c r="J240" s="23"/>
      <c r="K240" s="23"/>
    </row>
    <row r="241" spans="4:11" x14ac:dyDescent="0.25">
      <c r="D241" s="8"/>
      <c r="E241" s="8"/>
      <c r="J241" s="23"/>
      <c r="K241" s="23"/>
    </row>
    <row r="242" spans="4:11" x14ac:dyDescent="0.25">
      <c r="D242" s="8"/>
      <c r="E242" s="8"/>
      <c r="J242" s="23"/>
      <c r="K242" s="23"/>
    </row>
    <row r="243" spans="4:11" x14ac:dyDescent="0.25">
      <c r="D243" s="8"/>
      <c r="E243" s="8"/>
      <c r="J243" s="23"/>
      <c r="K243" s="23"/>
    </row>
    <row r="244" spans="4:11" x14ac:dyDescent="0.25">
      <c r="D244" s="8"/>
      <c r="E244" s="8"/>
      <c r="J244" s="23"/>
      <c r="K244" s="23"/>
    </row>
    <row r="245" spans="4:11" x14ac:dyDescent="0.25">
      <c r="D245" s="8"/>
      <c r="E245" s="8"/>
      <c r="J245" s="23"/>
      <c r="K245" s="23"/>
    </row>
    <row r="246" spans="4:11" x14ac:dyDescent="0.25">
      <c r="D246" s="8"/>
      <c r="E246" s="8"/>
      <c r="J246" s="23"/>
      <c r="K246" s="23"/>
    </row>
    <row r="247" spans="4:11" x14ac:dyDescent="0.25">
      <c r="D247" s="8"/>
      <c r="E247" s="8"/>
      <c r="J247" s="23"/>
      <c r="K247" s="23"/>
    </row>
    <row r="248" spans="4:11" x14ac:dyDescent="0.25">
      <c r="D248" s="8"/>
      <c r="E248" s="8"/>
      <c r="J248" s="23"/>
      <c r="K248" s="23"/>
    </row>
    <row r="249" spans="4:11" x14ac:dyDescent="0.25">
      <c r="D249" s="8"/>
      <c r="E249" s="8"/>
      <c r="J249" s="23"/>
      <c r="K249" s="23"/>
    </row>
    <row r="250" spans="4:11" x14ac:dyDescent="0.25">
      <c r="D250" s="8"/>
      <c r="E250" s="8"/>
      <c r="J250" s="23"/>
      <c r="K250" s="23"/>
    </row>
    <row r="251" spans="4:11" x14ac:dyDescent="0.25">
      <c r="D251" s="8"/>
      <c r="E251" s="8"/>
      <c r="J251" s="23"/>
      <c r="K251" s="23"/>
    </row>
    <row r="252" spans="4:11" x14ac:dyDescent="0.25">
      <c r="D252" s="8"/>
      <c r="E252" s="8"/>
      <c r="J252" s="23"/>
      <c r="K252" s="23"/>
    </row>
    <row r="253" spans="4:11" x14ac:dyDescent="0.25">
      <c r="D253" s="8"/>
      <c r="E253" s="8"/>
      <c r="J253" s="23"/>
      <c r="K253" s="23"/>
    </row>
    <row r="254" spans="4:11" x14ac:dyDescent="0.25">
      <c r="D254" s="8"/>
      <c r="E254" s="8"/>
      <c r="J254" s="23"/>
      <c r="K254" s="23"/>
    </row>
    <row r="255" spans="4:11" x14ac:dyDescent="0.25">
      <c r="D255" s="8"/>
      <c r="E255" s="8"/>
      <c r="J255" s="23"/>
      <c r="K255" s="23"/>
    </row>
    <row r="256" spans="4:11" x14ac:dyDescent="0.25">
      <c r="D256" s="8"/>
      <c r="E256" s="8"/>
      <c r="J256" s="23"/>
      <c r="K256" s="23"/>
    </row>
    <row r="257" spans="4:11" x14ac:dyDescent="0.25">
      <c r="D257" s="8"/>
      <c r="E257" s="8"/>
      <c r="J257" s="23"/>
      <c r="K257" s="23"/>
    </row>
    <row r="258" spans="4:11" x14ac:dyDescent="0.25">
      <c r="D258" s="8"/>
      <c r="E258" s="8"/>
      <c r="J258" s="23"/>
      <c r="K258" s="23"/>
    </row>
    <row r="259" spans="4:11" x14ac:dyDescent="0.25">
      <c r="D259" s="8"/>
      <c r="E259" s="8"/>
      <c r="J259" s="23"/>
      <c r="K259" s="23"/>
    </row>
    <row r="260" spans="4:11" x14ac:dyDescent="0.25">
      <c r="D260" s="8"/>
      <c r="E260" s="8"/>
      <c r="J260" s="23"/>
      <c r="K260" s="23"/>
    </row>
    <row r="261" spans="4:11" x14ac:dyDescent="0.25">
      <c r="D261" s="8"/>
      <c r="E261" s="8"/>
      <c r="J261" s="23"/>
      <c r="K261" s="23"/>
    </row>
    <row r="262" spans="4:11" x14ac:dyDescent="0.25">
      <c r="D262" s="8"/>
      <c r="E262" s="8"/>
      <c r="J262" s="23"/>
      <c r="K262" s="23"/>
    </row>
    <row r="263" spans="4:11" x14ac:dyDescent="0.25">
      <c r="D263" s="8"/>
      <c r="E263" s="8"/>
      <c r="J263" s="23"/>
      <c r="K263" s="23"/>
    </row>
    <row r="264" spans="4:11" x14ac:dyDescent="0.25">
      <c r="D264" s="8"/>
      <c r="E264" s="8"/>
      <c r="J264" s="23"/>
      <c r="K264" s="23"/>
    </row>
    <row r="265" spans="4:11" x14ac:dyDescent="0.25">
      <c r="D265" s="8"/>
      <c r="E265" s="8"/>
      <c r="J265" s="23"/>
      <c r="K265" s="23"/>
    </row>
    <row r="266" spans="4:11" x14ac:dyDescent="0.25">
      <c r="D266" s="8"/>
      <c r="E266" s="8"/>
      <c r="J266" s="23"/>
      <c r="K266" s="23"/>
    </row>
    <row r="267" spans="4:11" x14ac:dyDescent="0.25">
      <c r="D267" s="8"/>
      <c r="E267" s="8"/>
      <c r="J267" s="23"/>
      <c r="K267" s="23"/>
    </row>
    <row r="268" spans="4:11" x14ac:dyDescent="0.25">
      <c r="D268" s="8"/>
      <c r="E268" s="8"/>
      <c r="J268" s="23"/>
      <c r="K268" s="23"/>
    </row>
    <row r="269" spans="4:11" x14ac:dyDescent="0.25">
      <c r="D269" s="8"/>
      <c r="E269" s="8"/>
      <c r="J269" s="23"/>
      <c r="K269" s="23"/>
    </row>
    <row r="270" spans="4:11" x14ac:dyDescent="0.25">
      <c r="D270" s="8"/>
      <c r="E270" s="8"/>
      <c r="J270" s="23"/>
      <c r="K270" s="23"/>
    </row>
    <row r="271" spans="4:11" x14ac:dyDescent="0.25">
      <c r="D271" s="8"/>
      <c r="E271" s="8"/>
      <c r="J271" s="23"/>
      <c r="K271" s="23"/>
    </row>
    <row r="272" spans="4:11" x14ac:dyDescent="0.25">
      <c r="D272" s="8"/>
      <c r="E272" s="8"/>
      <c r="J272" s="23"/>
      <c r="K272" s="23"/>
    </row>
    <row r="273" spans="4:11" x14ac:dyDescent="0.25">
      <c r="D273" s="8"/>
      <c r="E273" s="8"/>
      <c r="J273" s="23"/>
      <c r="K273" s="23"/>
    </row>
    <row r="274" spans="4:11" x14ac:dyDescent="0.25">
      <c r="D274" s="8"/>
      <c r="E274" s="8"/>
      <c r="J274" s="23"/>
      <c r="K274" s="23"/>
    </row>
    <row r="275" spans="4:11" x14ac:dyDescent="0.25">
      <c r="D275" s="8"/>
      <c r="E275" s="8"/>
      <c r="J275" s="23"/>
      <c r="K275" s="23"/>
    </row>
    <row r="276" spans="4:11" x14ac:dyDescent="0.25">
      <c r="D276" s="8"/>
      <c r="E276" s="8"/>
      <c r="J276" s="23"/>
      <c r="K276" s="23"/>
    </row>
    <row r="277" spans="4:11" x14ac:dyDescent="0.25">
      <c r="D277" s="8"/>
      <c r="E277" s="8"/>
      <c r="J277" s="23"/>
      <c r="K277" s="23"/>
    </row>
    <row r="278" spans="4:11" x14ac:dyDescent="0.25">
      <c r="D278" s="8"/>
      <c r="E278" s="8"/>
      <c r="J278" s="23"/>
      <c r="K278" s="23"/>
    </row>
    <row r="279" spans="4:11" x14ac:dyDescent="0.25">
      <c r="D279" s="8"/>
      <c r="E279" s="8"/>
      <c r="J279" s="23"/>
      <c r="K279" s="23"/>
    </row>
    <row r="280" spans="4:11" x14ac:dyDescent="0.25">
      <c r="D280" s="8"/>
      <c r="E280" s="8"/>
      <c r="J280" s="23"/>
      <c r="K280" s="23"/>
    </row>
    <row r="281" spans="4:11" x14ac:dyDescent="0.25">
      <c r="D281" s="8"/>
      <c r="E281" s="8"/>
      <c r="J281" s="23"/>
      <c r="K281" s="23"/>
    </row>
    <row r="282" spans="4:11" x14ac:dyDescent="0.25">
      <c r="D282" s="8"/>
      <c r="E282" s="8"/>
      <c r="J282" s="23"/>
      <c r="K282" s="23"/>
    </row>
    <row r="283" spans="4:11" x14ac:dyDescent="0.25">
      <c r="D283" s="8"/>
      <c r="E283" s="8"/>
      <c r="J283" s="23"/>
      <c r="K283" s="23"/>
    </row>
    <row r="284" spans="4:11" x14ac:dyDescent="0.25">
      <c r="D284" s="8"/>
      <c r="E284" s="8"/>
      <c r="J284" s="23"/>
      <c r="K284" s="23"/>
    </row>
    <row r="285" spans="4:11" x14ac:dyDescent="0.25">
      <c r="D285" s="8"/>
      <c r="E285" s="8"/>
      <c r="J285" s="23"/>
      <c r="K285" s="23"/>
    </row>
    <row r="286" spans="4:11" x14ac:dyDescent="0.25">
      <c r="D286" s="8"/>
      <c r="E286" s="8"/>
      <c r="J286" s="23"/>
      <c r="K286" s="23"/>
    </row>
    <row r="287" spans="4:11" x14ac:dyDescent="0.25">
      <c r="D287" s="8"/>
      <c r="E287" s="8"/>
      <c r="J287" s="23"/>
      <c r="K287" s="23"/>
    </row>
    <row r="288" spans="4:11" x14ac:dyDescent="0.25">
      <c r="D288" s="8"/>
      <c r="E288" s="8"/>
      <c r="J288" s="23"/>
      <c r="K288" s="23"/>
    </row>
    <row r="289" spans="4:11" x14ac:dyDescent="0.25">
      <c r="D289" s="8"/>
      <c r="E289" s="8"/>
      <c r="J289" s="23"/>
      <c r="K289" s="23"/>
    </row>
    <row r="290" spans="4:11" x14ac:dyDescent="0.25">
      <c r="D290" s="8"/>
      <c r="E290" s="8"/>
      <c r="J290" s="23"/>
      <c r="K290" s="23"/>
    </row>
    <row r="291" spans="4:11" x14ac:dyDescent="0.25">
      <c r="D291" s="8"/>
      <c r="E291" s="8"/>
      <c r="J291" s="23"/>
      <c r="K291" s="23"/>
    </row>
    <row r="292" spans="4:11" x14ac:dyDescent="0.25">
      <c r="D292" s="8"/>
      <c r="E292" s="8"/>
      <c r="J292" s="23"/>
      <c r="K292" s="23"/>
    </row>
    <row r="293" spans="4:11" x14ac:dyDescent="0.25">
      <c r="D293" s="8"/>
      <c r="E293" s="8"/>
      <c r="J293" s="23"/>
      <c r="K293" s="23"/>
    </row>
    <row r="294" spans="4:11" x14ac:dyDescent="0.25">
      <c r="D294" s="8"/>
      <c r="E294" s="8"/>
      <c r="J294" s="23"/>
      <c r="K294" s="23"/>
    </row>
    <row r="295" spans="4:11" x14ac:dyDescent="0.25">
      <c r="D295" s="8"/>
      <c r="E295" s="8"/>
      <c r="J295" s="23"/>
      <c r="K295" s="23"/>
    </row>
    <row r="296" spans="4:11" x14ac:dyDescent="0.25">
      <c r="D296" s="8"/>
      <c r="E296" s="8"/>
      <c r="J296" s="23"/>
      <c r="K296" s="23"/>
    </row>
    <row r="297" spans="4:11" x14ac:dyDescent="0.25">
      <c r="D297" s="8"/>
      <c r="E297" s="8"/>
      <c r="J297" s="23"/>
      <c r="K297" s="23"/>
    </row>
    <row r="298" spans="4:11" x14ac:dyDescent="0.25">
      <c r="D298" s="8"/>
      <c r="E298" s="8"/>
      <c r="J298" s="23"/>
      <c r="K298" s="23"/>
    </row>
    <row r="299" spans="4:11" x14ac:dyDescent="0.25">
      <c r="D299" s="8"/>
      <c r="E299" s="8"/>
      <c r="J299" s="23"/>
      <c r="K299" s="23"/>
    </row>
    <row r="300" spans="4:11" x14ac:dyDescent="0.25">
      <c r="D300" s="8"/>
      <c r="E300" s="8"/>
      <c r="J300" s="23"/>
      <c r="K300" s="23"/>
    </row>
    <row r="301" spans="4:11" x14ac:dyDescent="0.25">
      <c r="D301" s="8"/>
      <c r="E301" s="8"/>
      <c r="J301" s="23"/>
      <c r="K301" s="23"/>
    </row>
    <row r="302" spans="4:11" x14ac:dyDescent="0.25">
      <c r="D302" s="8"/>
      <c r="E302" s="8"/>
      <c r="J302" s="23"/>
      <c r="K302" s="23"/>
    </row>
    <row r="303" spans="4:11" x14ac:dyDescent="0.25">
      <c r="D303" s="8"/>
      <c r="E303" s="8"/>
      <c r="J303" s="23"/>
      <c r="K303" s="23"/>
    </row>
    <row r="304" spans="4:11" x14ac:dyDescent="0.25">
      <c r="D304" s="8"/>
      <c r="E304" s="8"/>
      <c r="J304" s="23"/>
      <c r="K304" s="23"/>
    </row>
    <row r="305" spans="4:11" x14ac:dyDescent="0.25">
      <c r="D305" s="8"/>
      <c r="E305" s="8"/>
      <c r="J305" s="23"/>
      <c r="K305" s="23"/>
    </row>
    <row r="306" spans="4:11" x14ac:dyDescent="0.25">
      <c r="D306" s="8"/>
      <c r="E306" s="8"/>
      <c r="J306" s="23"/>
      <c r="K306" s="23"/>
    </row>
    <row r="307" spans="4:11" x14ac:dyDescent="0.25">
      <c r="D307" s="8"/>
      <c r="E307" s="8"/>
      <c r="J307" s="23"/>
      <c r="K307" s="23"/>
    </row>
    <row r="308" spans="4:11" x14ac:dyDescent="0.25">
      <c r="D308" s="8"/>
      <c r="E308" s="8"/>
      <c r="J308" s="23"/>
      <c r="K308" s="23"/>
    </row>
    <row r="309" spans="4:11" x14ac:dyDescent="0.25">
      <c r="D309" s="8"/>
      <c r="E309" s="8"/>
      <c r="J309" s="23"/>
      <c r="K309" s="23"/>
    </row>
    <row r="310" spans="4:11" x14ac:dyDescent="0.25">
      <c r="D310" s="8"/>
      <c r="E310" s="8"/>
      <c r="J310" s="23"/>
      <c r="K310" s="23"/>
    </row>
    <row r="311" spans="4:11" x14ac:dyDescent="0.25">
      <c r="D311" s="8"/>
      <c r="E311" s="8"/>
      <c r="J311" s="23"/>
      <c r="K311" s="23"/>
    </row>
    <row r="312" spans="4:11" x14ac:dyDescent="0.25">
      <c r="D312" s="8"/>
      <c r="E312" s="8"/>
      <c r="J312" s="23"/>
      <c r="K312" s="23"/>
    </row>
    <row r="313" spans="4:11" x14ac:dyDescent="0.25">
      <c r="D313" s="8"/>
      <c r="E313" s="8"/>
      <c r="J313" s="23"/>
      <c r="K313" s="23"/>
    </row>
    <row r="314" spans="4:11" x14ac:dyDescent="0.25">
      <c r="D314" s="8"/>
      <c r="E314" s="8"/>
      <c r="J314" s="23"/>
      <c r="K314" s="23"/>
    </row>
    <row r="315" spans="4:11" x14ac:dyDescent="0.25">
      <c r="D315" s="8"/>
      <c r="E315" s="8"/>
      <c r="J315" s="23"/>
      <c r="K315" s="23"/>
    </row>
    <row r="316" spans="4:11" x14ac:dyDescent="0.25">
      <c r="D316" s="8"/>
      <c r="E316" s="8"/>
      <c r="J316" s="23"/>
      <c r="K316" s="23"/>
    </row>
    <row r="317" spans="4:11" x14ac:dyDescent="0.25">
      <c r="D317" s="8"/>
      <c r="E317" s="8"/>
      <c r="J317" s="23"/>
      <c r="K317" s="23"/>
    </row>
    <row r="318" spans="4:11" x14ac:dyDescent="0.25">
      <c r="D318" s="8"/>
      <c r="E318" s="8"/>
      <c r="J318" s="23"/>
      <c r="K318" s="23"/>
    </row>
    <row r="319" spans="4:11" x14ac:dyDescent="0.25">
      <c r="D319" s="8"/>
      <c r="E319" s="8"/>
      <c r="J319" s="23"/>
      <c r="K319" s="23"/>
    </row>
    <row r="320" spans="4:11" x14ac:dyDescent="0.25">
      <c r="D320" s="8"/>
      <c r="E320" s="8"/>
      <c r="J320" s="23"/>
      <c r="K320" s="23"/>
    </row>
    <row r="321" spans="4:11" x14ac:dyDescent="0.25">
      <c r="D321" s="8"/>
      <c r="E321" s="8"/>
      <c r="J321" s="23"/>
      <c r="K321" s="23"/>
    </row>
    <row r="322" spans="4:11" x14ac:dyDescent="0.25">
      <c r="D322" s="8"/>
      <c r="E322" s="8"/>
      <c r="J322" s="23"/>
      <c r="K322" s="23"/>
    </row>
    <row r="323" spans="4:11" x14ac:dyDescent="0.25">
      <c r="D323" s="8"/>
      <c r="E323" s="8"/>
      <c r="J323" s="23"/>
      <c r="K323" s="23"/>
    </row>
    <row r="324" spans="4:11" x14ac:dyDescent="0.25">
      <c r="D324" s="8"/>
      <c r="E324" s="8"/>
      <c r="J324" s="23"/>
      <c r="K324" s="23"/>
    </row>
    <row r="325" spans="4:11" x14ac:dyDescent="0.25">
      <c r="D325" s="8"/>
      <c r="E325" s="8"/>
      <c r="J325" s="23"/>
      <c r="K325" s="23"/>
    </row>
    <row r="326" spans="4:11" x14ac:dyDescent="0.25">
      <c r="D326" s="8"/>
      <c r="E326" s="8"/>
      <c r="J326" s="23"/>
      <c r="K326" s="23"/>
    </row>
    <row r="327" spans="4:11" x14ac:dyDescent="0.25">
      <c r="D327" s="8"/>
      <c r="E327" s="8"/>
      <c r="J327" s="23"/>
      <c r="K327" s="23"/>
    </row>
    <row r="328" spans="4:11" x14ac:dyDescent="0.25">
      <c r="D328" s="8"/>
      <c r="E328" s="8"/>
      <c r="J328" s="23"/>
      <c r="K328" s="23"/>
    </row>
    <row r="329" spans="4:11" x14ac:dyDescent="0.25">
      <c r="D329" s="8"/>
      <c r="E329" s="8"/>
      <c r="J329" s="23"/>
      <c r="K329" s="23"/>
    </row>
    <row r="330" spans="4:11" x14ac:dyDescent="0.25">
      <c r="E330" s="8"/>
      <c r="J330" s="23"/>
      <c r="K330" s="23"/>
    </row>
  </sheetData>
  <sheetProtection algorithmName="SHA-512" hashValue="Wa43KPco81tKwom5UdY93z9ucWY9SX0ptgeNZs9SaB52LsrE9dHDu3fEHqo9bj6ArnqYwdqzLpW8zd5Usbh0SA==" saltValue="lMlOJdZrYXhpUYz89smCHQ==" spinCount="100000" sheet="1" objects="1" scenarios="1" formatCells="0" formatColumns="0" formatRows="0" insertColumns="0" insertRows="0" insertHyperlinks="0" deleteColumns="0" deleteRows="0" sort="0" autoFilter="0" pivotTables="0"/>
  <protectedRanges>
    <protectedRange sqref="F35:F45" name="Intervalo2"/>
    <protectedRange sqref="B11:E32 B34:E46 D47:D352 B47:C353 E47:E353" name="Intervalo1"/>
  </protectedRanges>
  <mergeCells count="16">
    <mergeCell ref="B44:D44"/>
    <mergeCell ref="B45:D45"/>
    <mergeCell ref="D2:I3"/>
    <mergeCell ref="B9:I9"/>
    <mergeCell ref="B31:G31"/>
    <mergeCell ref="B33:H33"/>
    <mergeCell ref="B39:D39"/>
    <mergeCell ref="B40:D40"/>
    <mergeCell ref="B41:D41"/>
    <mergeCell ref="B42:D42"/>
    <mergeCell ref="B43:D43"/>
    <mergeCell ref="B34:D34"/>
    <mergeCell ref="B35:D35"/>
    <mergeCell ref="B36:D36"/>
    <mergeCell ref="B37:D37"/>
    <mergeCell ref="B38:D38"/>
  </mergeCells>
  <dataValidations disablePrompts="1" count="1">
    <dataValidation type="list" allowBlank="1" showInputMessage="1" showErrorMessage="1" sqref="C11:C30 C32 C47:C329" xr:uid="{00000000-0002-0000-0100-000000000000}">
      <formula1>compra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oltar">
                <anchor moveWithCells="1" sizeWithCells="1">
                  <from>
                    <xdr:col>8</xdr:col>
                    <xdr:colOff>28575</xdr:colOff>
                    <xdr:row>3</xdr:row>
                    <xdr:rowOff>38100</xdr:rowOff>
                  </from>
                  <to>
                    <xdr:col>8</xdr:col>
                    <xdr:colOff>781050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cro1">
                <anchor moveWithCells="1" sizeWithCells="1">
                  <from>
                    <xdr:col>8</xdr:col>
                    <xdr:colOff>847725</xdr:colOff>
                    <xdr:row>3</xdr:row>
                    <xdr:rowOff>38100</xdr:rowOff>
                  </from>
                  <to>
                    <xdr:col>11</xdr:col>
                    <xdr:colOff>514350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acom">
                <anchor moveWithCells="1" sizeWithCells="1">
                  <from>
                    <xdr:col>8</xdr:col>
                    <xdr:colOff>19050</xdr:colOff>
                    <xdr:row>5</xdr:row>
                    <xdr:rowOff>0</xdr:rowOff>
                  </from>
                  <to>
                    <xdr:col>8</xdr:col>
                    <xdr:colOff>771525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IRDayTrade">
                <anchor moveWithCells="1" sizeWithCells="1">
                  <from>
                    <xdr:col>8</xdr:col>
                    <xdr:colOff>838200</xdr:colOff>
                    <xdr:row>5</xdr:row>
                    <xdr:rowOff>0</xdr:rowOff>
                  </from>
                  <to>
                    <xdr:col>11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1000000}">
          <x14:formula1>
            <xm:f>Plan5!$A$4:$A$47</xm:f>
          </x14:formula1>
          <xm:sqref>B35:D45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C1:AJ53"/>
  <sheetViews>
    <sheetView showGridLines="0" zoomScaleNormal="100" workbookViewId="0">
      <selection activeCell="D2" sqref="D2:N4"/>
    </sheetView>
  </sheetViews>
  <sheetFormatPr defaultColWidth="0" defaultRowHeight="15" zeroHeight="1" x14ac:dyDescent="0.25"/>
  <cols>
    <col min="1" max="1" width="3.42578125" customWidth="1"/>
    <col min="2" max="2" width="10.5703125" bestFit="1" customWidth="1"/>
    <col min="3" max="3" width="16.140625" bestFit="1" customWidth="1"/>
    <col min="4" max="4" width="9.7109375" bestFit="1" customWidth="1"/>
    <col min="5" max="16" width="9.140625" customWidth="1"/>
    <col min="17" max="20" width="9.140625" hidden="1" customWidth="1"/>
    <col min="21" max="34" width="9.140625" hidden="1"/>
    <col min="35" max="35" width="10.5703125" hidden="1"/>
  </cols>
  <sheetData>
    <row r="1" spans="3:36" x14ac:dyDescent="0.25"/>
    <row r="2" spans="3:36" ht="15" customHeight="1" x14ac:dyDescent="0.5">
      <c r="D2" s="68" t="s">
        <v>61</v>
      </c>
      <c r="E2" s="68"/>
      <c r="F2" s="68"/>
      <c r="G2" s="68"/>
      <c r="H2" s="68"/>
      <c r="I2" s="68"/>
      <c r="J2" s="68"/>
      <c r="K2" s="68"/>
      <c r="L2" s="68"/>
      <c r="M2" s="68"/>
      <c r="N2" s="68"/>
      <c r="O2" s="5"/>
      <c r="P2" s="5"/>
      <c r="Q2" s="5"/>
    </row>
    <row r="3" spans="3:36" ht="15" customHeight="1" x14ac:dyDescent="0.5"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5"/>
      <c r="P3" s="5"/>
      <c r="Q3" s="5"/>
    </row>
    <row r="4" spans="3:36" ht="15" customHeight="1" x14ac:dyDescent="0.5"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5"/>
      <c r="P4" s="5"/>
      <c r="Q4" s="5"/>
    </row>
    <row r="5" spans="3:36" x14ac:dyDescent="0.25"/>
    <row r="6" spans="3:36" x14ac:dyDescent="0.25"/>
    <row r="7" spans="3:36" x14ac:dyDescent="0.25"/>
    <row r="8" spans="3:36" x14ac:dyDescent="0.25">
      <c r="AH8" s="3"/>
      <c r="AI8" s="3"/>
      <c r="AJ8" s="2"/>
    </row>
    <row r="9" spans="3:36" x14ac:dyDescent="0.25">
      <c r="AH9" s="3"/>
      <c r="AI9" s="3"/>
      <c r="AJ9" s="2"/>
    </row>
    <row r="10" spans="3:36" x14ac:dyDescent="0.25">
      <c r="AH10" s="3"/>
      <c r="AI10" s="3"/>
      <c r="AJ10" s="2"/>
    </row>
    <row r="11" spans="3:36" x14ac:dyDescent="0.25">
      <c r="AH11" s="3"/>
      <c r="AI11" s="3"/>
      <c r="AJ11" s="2"/>
    </row>
    <row r="12" spans="3:36" x14ac:dyDescent="0.25">
      <c r="AH12" s="3"/>
      <c r="AI12" s="3"/>
      <c r="AJ12" s="2"/>
    </row>
    <row r="13" spans="3:36" x14ac:dyDescent="0.25">
      <c r="AH13" s="3"/>
      <c r="AI13" s="3"/>
      <c r="AJ13" s="2"/>
    </row>
    <row r="14" spans="3:36" x14ac:dyDescent="0.25">
      <c r="C14" t="s">
        <v>55</v>
      </c>
      <c r="D14" t="s">
        <v>56</v>
      </c>
      <c r="AH14" s="3"/>
      <c r="AI14" s="3"/>
      <c r="AJ14" s="2"/>
    </row>
    <row r="15" spans="3:36" x14ac:dyDescent="0.25">
      <c r="C15" s="1">
        <f>SUMIFS('Posição de Custódia'!K:K,'Posição de Custódia'!C:C,Relatórios!C14)</f>
        <v>0</v>
      </c>
      <c r="D15" s="1">
        <f>SUMIFS('Posição de Custódia'!K:K,'Posição de Custódia'!C:C,Relatórios!D14)</f>
        <v>80000</v>
      </c>
      <c r="AH15" s="3"/>
      <c r="AI15" s="3"/>
      <c r="AJ15" s="2"/>
    </row>
    <row r="16" spans="3:36" x14ac:dyDescent="0.25">
      <c r="AH16" s="3"/>
      <c r="AI16" s="3"/>
      <c r="AJ16" s="2"/>
    </row>
    <row r="17" spans="34:36" x14ac:dyDescent="0.25">
      <c r="AH17" s="3"/>
      <c r="AI17" s="3"/>
      <c r="AJ17" s="2"/>
    </row>
    <row r="18" spans="34:36" x14ac:dyDescent="0.25">
      <c r="AH18" s="3"/>
      <c r="AI18" s="3"/>
      <c r="AJ18" s="2"/>
    </row>
    <row r="19" spans="34:36" x14ac:dyDescent="0.25">
      <c r="AH19" s="3"/>
      <c r="AI19" s="3"/>
      <c r="AJ19" s="2"/>
    </row>
    <row r="20" spans="34:36" x14ac:dyDescent="0.25">
      <c r="AH20" s="3"/>
      <c r="AI20" s="3"/>
      <c r="AJ20" s="2"/>
    </row>
    <row r="21" spans="34:36" x14ac:dyDescent="0.25">
      <c r="AH21" s="3"/>
      <c r="AI21" s="3"/>
      <c r="AJ21" s="2"/>
    </row>
    <row r="22" spans="34:36" x14ac:dyDescent="0.25">
      <c r="AH22" s="3"/>
      <c r="AI22" s="3"/>
      <c r="AJ22" s="2"/>
    </row>
    <row r="23" spans="34:36" x14ac:dyDescent="0.25">
      <c r="AH23" s="3"/>
      <c r="AI23" s="3"/>
      <c r="AJ23" s="2"/>
    </row>
    <row r="24" spans="34:36" x14ac:dyDescent="0.25">
      <c r="AH24" s="3"/>
      <c r="AI24" s="3"/>
      <c r="AJ24" s="2"/>
    </row>
    <row r="25" spans="34:36" x14ac:dyDescent="0.25">
      <c r="AH25" s="3"/>
      <c r="AI25" s="3"/>
      <c r="AJ25" s="2"/>
    </row>
    <row r="26" spans="34:36" x14ac:dyDescent="0.25">
      <c r="AH26" s="3"/>
      <c r="AI26" s="3"/>
      <c r="AJ26" s="2"/>
    </row>
    <row r="27" spans="34:36" x14ac:dyDescent="0.25">
      <c r="AH27" s="3"/>
      <c r="AI27" s="3"/>
      <c r="AJ27" s="2"/>
    </row>
    <row r="28" spans="34:36" x14ac:dyDescent="0.25">
      <c r="AI28" s="3"/>
    </row>
    <row r="29" spans="34:36" x14ac:dyDescent="0.25"/>
    <row r="30" spans="34:36" x14ac:dyDescent="0.25"/>
    <row r="31" spans="34:36" x14ac:dyDescent="0.25"/>
    <row r="32" spans="34:3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</sheetData>
  <sheetProtection algorithmName="SHA-512" hashValue="KbqEgH49bmEQVmX4CO4ZZ1FLdsvKnS2wwLf7eT3dY0RC+Vo+b3MnCfd+78HnmIcEv/RqEoxx5eFOyKjtlH+7rw==" saltValue="m85UYsr3MHiB1EUJgvKLXg==" spinCount="100000" sheet="1" objects="1" scenarios="1" formatCells="0" formatColumns="0" formatRows="0" insertColumns="0" insertRows="0" insertHyperlinks="0" deleteColumns="0" deleteRows="0" sort="0" autoFilter="0" pivotTables="0"/>
  <mergeCells count="1">
    <mergeCell ref="D2:N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oltar">
                <anchor moveWithCells="1" sizeWithCells="1">
                  <from>
                    <xdr:col>12</xdr:col>
                    <xdr:colOff>304800</xdr:colOff>
                    <xdr:row>2</xdr:row>
                    <xdr:rowOff>85725</xdr:rowOff>
                  </from>
                  <to>
                    <xdr:col>13</xdr:col>
                    <xdr:colOff>447675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Pos">
                <anchor moveWithCells="1" sizeWithCells="1">
                  <from>
                    <xdr:col>13</xdr:col>
                    <xdr:colOff>514350</xdr:colOff>
                    <xdr:row>2</xdr:row>
                    <xdr:rowOff>85725</xdr:rowOff>
                  </from>
                  <to>
                    <xdr:col>15</xdr:col>
                    <xdr:colOff>47625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acom">
                <anchor moveWithCells="1" sizeWithCells="1">
                  <from>
                    <xdr:col>12</xdr:col>
                    <xdr:colOff>314325</xdr:colOff>
                    <xdr:row>4</xdr:row>
                    <xdr:rowOff>9525</xdr:rowOff>
                  </from>
                  <to>
                    <xdr:col>13</xdr:col>
                    <xdr:colOff>457200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IRDayTrade">
                <anchor moveWithCells="1" sizeWithCells="1">
                  <from>
                    <xdr:col>13</xdr:col>
                    <xdr:colOff>514350</xdr:colOff>
                    <xdr:row>4</xdr:row>
                    <xdr:rowOff>9525</xdr:rowOff>
                  </from>
                  <to>
                    <xdr:col>15</xdr:col>
                    <xdr:colOff>47625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1:O330"/>
  <sheetViews>
    <sheetView showGridLines="0" workbookViewId="0">
      <selection activeCell="C2" sqref="C2:K4"/>
    </sheetView>
  </sheetViews>
  <sheetFormatPr defaultColWidth="0" defaultRowHeight="15" zeroHeight="1" x14ac:dyDescent="0.25"/>
  <cols>
    <col min="1" max="1" width="3" style="8" customWidth="1"/>
    <col min="2" max="2" width="9.140625" style="8" customWidth="1"/>
    <col min="3" max="3" width="26.42578125" style="8" bestFit="1" customWidth="1"/>
    <col min="4" max="4" width="12.42578125" style="8" bestFit="1" customWidth="1"/>
    <col min="5" max="5" width="12.28515625" style="8" bestFit="1" customWidth="1"/>
    <col min="6" max="6" width="12.140625" style="8" bestFit="1" customWidth="1"/>
    <col min="7" max="7" width="19.28515625" style="8" bestFit="1" customWidth="1"/>
    <col min="8" max="8" width="20.42578125" style="8" bestFit="1" customWidth="1"/>
    <col min="9" max="9" width="13.7109375" style="8" bestFit="1" customWidth="1"/>
    <col min="10" max="10" width="13.28515625" style="8" bestFit="1" customWidth="1"/>
    <col min="11" max="11" width="14.7109375" style="8" bestFit="1" customWidth="1"/>
    <col min="12" max="12" width="9.140625" style="8" customWidth="1"/>
    <col min="13" max="14" width="9.140625" style="8" hidden="1" customWidth="1"/>
    <col min="15" max="15" width="5" style="8" hidden="1" customWidth="1"/>
    <col min="16" max="16384" width="0" style="8" hidden="1"/>
  </cols>
  <sheetData>
    <row r="1" spans="2:11" x14ac:dyDescent="0.25"/>
    <row r="2" spans="2:11" x14ac:dyDescent="0.25">
      <c r="C2" s="69" t="s">
        <v>62</v>
      </c>
      <c r="D2" s="69"/>
      <c r="E2" s="69"/>
      <c r="F2" s="69"/>
      <c r="G2" s="69"/>
      <c r="H2" s="69"/>
      <c r="I2" s="69"/>
      <c r="J2" s="69"/>
      <c r="K2" s="69"/>
    </row>
    <row r="3" spans="2:11" x14ac:dyDescent="0.25">
      <c r="C3" s="69"/>
      <c r="D3" s="69"/>
      <c r="E3" s="69"/>
      <c r="F3" s="69"/>
      <c r="G3" s="69"/>
      <c r="H3" s="69"/>
      <c r="I3" s="69"/>
      <c r="J3" s="69"/>
      <c r="K3" s="69"/>
    </row>
    <row r="4" spans="2:11" x14ac:dyDescent="0.25">
      <c r="C4" s="69"/>
      <c r="D4" s="69"/>
      <c r="E4" s="69"/>
      <c r="F4" s="69"/>
      <c r="G4" s="69"/>
      <c r="H4" s="69"/>
      <c r="I4" s="69"/>
      <c r="J4" s="69"/>
      <c r="K4" s="69"/>
    </row>
    <row r="5" spans="2:11" x14ac:dyDescent="0.25"/>
    <row r="6" spans="2:11" x14ac:dyDescent="0.25"/>
    <row r="7" spans="2:11" x14ac:dyDescent="0.25"/>
    <row r="8" spans="2:11" x14ac:dyDescent="0.25"/>
    <row r="9" spans="2:11" x14ac:dyDescent="0.25">
      <c r="B9" s="21" t="s">
        <v>6</v>
      </c>
      <c r="C9" s="21" t="s">
        <v>7</v>
      </c>
      <c r="D9" s="21" t="s">
        <v>11</v>
      </c>
      <c r="E9" s="21" t="s">
        <v>28</v>
      </c>
      <c r="F9" s="21" t="s">
        <v>22</v>
      </c>
      <c r="G9" s="21" t="s">
        <v>29</v>
      </c>
      <c r="H9" s="21" t="s">
        <v>31</v>
      </c>
      <c r="I9" s="21" t="s">
        <v>36</v>
      </c>
      <c r="J9" s="21" t="s">
        <v>37</v>
      </c>
      <c r="K9" s="21" t="s">
        <v>39</v>
      </c>
    </row>
    <row r="10" spans="2:11" x14ac:dyDescent="0.25">
      <c r="B10" s="8" t="s">
        <v>5</v>
      </c>
      <c r="C10" s="8" t="str">
        <f>IFERROR(IF(B10="","",RTD("octo.rtdserver","",B10,VLOOKUP($C$9,Plan3!$B:$C,2,0))),"")</f>
        <v>-</v>
      </c>
      <c r="D10" s="8" t="str">
        <f>IFERROR(IF(B10="","",RTD("octo.rtdserver","",B10,VLOOKUP($D$9,Plan3!$B:$C,2,0))),"")</f>
        <v>-</v>
      </c>
      <c r="E10" s="8" t="str">
        <f>IFERROR(IF(B10="","",RTD("octo.rtdserver","",B10,VLOOKUP($E$9,Plan3!$B:$C,2,0))),"")</f>
        <v>-</v>
      </c>
      <c r="F10" s="8" t="str">
        <f>IFERROR(IF(B10="","",RTD("octo.rtdserver","",B10,VLOOKUP($F$9,Plan3!$B:$C,2,0))),"")</f>
        <v>-</v>
      </c>
      <c r="G10" s="8" t="str">
        <f>IFERROR(IF(B10="","",RTD("octo.rtdserver","",B10,VLOOKUP($G$9,Plan3!$B:$C,2,0))),"")</f>
        <v>-</v>
      </c>
      <c r="H10" s="8" t="str">
        <f>IFERROR(IF(B10="","",RTD("octo.rtdserver","",B10,VLOOKUP($H$9,Plan3!$B:$C,2,0))),"")</f>
        <v>-</v>
      </c>
      <c r="I10" s="8" t="str">
        <f>IFERROR(IF(B10="","",RTD("octo.rtdserver","",B10,VLOOKUP($I$9,Plan3!$B:$C,2,0))),"")</f>
        <v>-</v>
      </c>
      <c r="J10" s="8" t="str">
        <f>IFERROR(IF(B10="","",RTD("octo.rtdserver","",B10,VLOOKUP($J$9,Plan3!$B:$C,2,0))),"")</f>
        <v>-</v>
      </c>
      <c r="K10" s="8" t="str">
        <f>IFERROR(IF(B10="","",RTD("octo.rtdserver","",B10,VLOOKUP($K$9,Plan3!$B:$C,2,0))),"")</f>
        <v>-</v>
      </c>
    </row>
    <row r="11" spans="2:11" x14ac:dyDescent="0.25">
      <c r="C11" s="8" t="str">
        <f>IFERROR(IF(B11="","",RTD("octo.rtdserver","",B11,VLOOKUP($C$9,Plan3!$B:$C,2,0))),"")</f>
        <v/>
      </c>
      <c r="D11" s="8" t="str">
        <f>IFERROR(IF(B11="","",RTD("octo.rtdserver","",B11,VLOOKUP($D$9,Plan3!$B:$C,2,0))),"")</f>
        <v/>
      </c>
      <c r="E11" s="8" t="str">
        <f>IFERROR(IF(B11="","",RTD("octo.rtdserver","",B11,VLOOKUP($E$9,Plan3!$B:$C,2,0))),"")</f>
        <v/>
      </c>
      <c r="F11" s="8" t="str">
        <f>IFERROR(IF(B11="","",RTD("octo.rtdserver","",B11,VLOOKUP($F$9,Plan3!$B:$C,2,0))),"")</f>
        <v/>
      </c>
      <c r="G11" s="8" t="str">
        <f>IFERROR(IF(B11="","",RTD("octo.rtdserver","",B11,VLOOKUP($G$9,Plan3!$B:$C,2,0))),"")</f>
        <v/>
      </c>
      <c r="H11" s="8" t="str">
        <f>IFERROR(IF(B11="","",RTD("octo.rtdserver","",B11,VLOOKUP($H$9,Plan3!$B:$C,2,0))),"")</f>
        <v/>
      </c>
      <c r="I11" s="8" t="str">
        <f>IFERROR(IF(B11="","",RTD("octo.rtdserver","",B11,VLOOKUP($I$9,Plan3!$B:$C,2,0))),"")</f>
        <v/>
      </c>
      <c r="J11" s="8" t="str">
        <f>IFERROR(IF(B11="","",RTD("octo.rtdserver","",B11,VLOOKUP($J$9,Plan3!$B:$C,2,0))),"")</f>
        <v/>
      </c>
      <c r="K11" s="8" t="str">
        <f>IFERROR(IF(B11="","",RTD("octo.rtdserver","",B11,VLOOKUP($K$9,Plan3!$B:$C,2,0))),"")</f>
        <v/>
      </c>
    </row>
    <row r="12" spans="2:11" x14ac:dyDescent="0.25">
      <c r="C12" s="8" t="str">
        <f>IFERROR(IF(B12="","",RTD("octo.rtdserver","",B12,VLOOKUP($C$9,Plan3!$B:$C,2,0))),"")</f>
        <v/>
      </c>
      <c r="D12" s="8" t="str">
        <f>IFERROR(IF(B12="","",RTD("octo.rtdserver","",B12,VLOOKUP($D$9,Plan3!$B:$C,2,0))),"")</f>
        <v/>
      </c>
      <c r="E12" s="8" t="str">
        <f>IFERROR(IF(B12="","",RTD("octo.rtdserver","",B12,VLOOKUP($E$9,Plan3!$B:$C,2,0))),"")</f>
        <v/>
      </c>
      <c r="F12" s="8" t="str">
        <f>IFERROR(IF(B12="","",RTD("octo.rtdserver","",B12,VLOOKUP($F$9,Plan3!$B:$C,2,0))),"")</f>
        <v/>
      </c>
      <c r="G12" s="8" t="str">
        <f>IFERROR(IF(B12="","",RTD("octo.rtdserver","",B12,VLOOKUP($G$9,Plan3!$B:$C,2,0))),"")</f>
        <v/>
      </c>
      <c r="H12" s="8" t="str">
        <f>IFERROR(IF(B12="","",RTD("octo.rtdserver","",B12,VLOOKUP($H$9,Plan3!$B:$C,2,0))),"")</f>
        <v/>
      </c>
      <c r="I12" s="8" t="str">
        <f>IFERROR(IF(B12="","",RTD("octo.rtdserver","",B12,VLOOKUP($I$9,Plan3!$B:$C,2,0))),"")</f>
        <v/>
      </c>
      <c r="J12" s="8" t="str">
        <f>IFERROR(IF(B12="","",RTD("octo.rtdserver","",B12,VLOOKUP($J$9,Plan3!$B:$C,2,0))),"")</f>
        <v/>
      </c>
      <c r="K12" s="8" t="str">
        <f>IFERROR(IF(B12="","",RTD("octo.rtdserver","",B12,VLOOKUP($K$9,Plan3!$B:$C,2,0))),"")</f>
        <v/>
      </c>
    </row>
    <row r="13" spans="2:11" x14ac:dyDescent="0.25">
      <c r="C13" s="8" t="str">
        <f>IFERROR(IF(B13="","",RTD("octo.rtdserver","",B13,VLOOKUP($C$9,Plan3!$B:$C,2,0))),"")</f>
        <v/>
      </c>
      <c r="D13" s="8" t="str">
        <f>IFERROR(IF(B13="","",RTD("octo.rtdserver","",B13,VLOOKUP($D$9,Plan3!$B:$C,2,0))),"")</f>
        <v/>
      </c>
      <c r="E13" s="8" t="str">
        <f>IFERROR(IF(B13="","",RTD("octo.rtdserver","",B13,VLOOKUP($E$9,Plan3!$B:$C,2,0))),"")</f>
        <v/>
      </c>
      <c r="F13" s="8" t="str">
        <f>IFERROR(IF(B13="","",RTD("octo.rtdserver","",B13,VLOOKUP($F$9,Plan3!$B:$C,2,0))),"")</f>
        <v/>
      </c>
      <c r="G13" s="8" t="str">
        <f>IFERROR(IF(B13="","",RTD("octo.rtdserver","",B13,VLOOKUP($G$9,Plan3!$B:$C,2,0))),"")</f>
        <v/>
      </c>
      <c r="H13" s="8" t="str">
        <f>IFERROR(IF(B13="","",RTD("octo.rtdserver","",B13,VLOOKUP($H$9,Plan3!$B:$C,2,0))),"")</f>
        <v/>
      </c>
      <c r="I13" s="8" t="str">
        <f>IFERROR(IF(B13="","",RTD("octo.rtdserver","",B13,VLOOKUP($I$9,Plan3!$B:$C,2,0))),"")</f>
        <v/>
      </c>
      <c r="J13" s="8" t="str">
        <f>IFERROR(IF(B13="","",RTD("octo.rtdserver","",B13,VLOOKUP($J$9,Plan3!$B:$C,2,0))),"")</f>
        <v/>
      </c>
      <c r="K13" s="8" t="str">
        <f>IFERROR(IF(B13="","",RTD("octo.rtdserver","",B13,VLOOKUP($K$9,Plan3!$B:$C,2,0))),"")</f>
        <v/>
      </c>
    </row>
    <row r="14" spans="2:11" x14ac:dyDescent="0.25">
      <c r="C14" s="8" t="str">
        <f>IFERROR(IF(B14="","",RTD("octo.rtdserver","",B14,VLOOKUP($C$9,Plan3!$B:$C,2,0))),"")</f>
        <v/>
      </c>
      <c r="D14" s="8" t="str">
        <f>IFERROR(IF(B14="","",RTD("octo.rtdserver","",B14,VLOOKUP($D$9,Plan3!$B:$C,2,0))),"")</f>
        <v/>
      </c>
      <c r="E14" s="8" t="str">
        <f>IFERROR(IF(B14="","",RTD("octo.rtdserver","",B14,VLOOKUP($E$9,Plan3!$B:$C,2,0))),"")</f>
        <v/>
      </c>
      <c r="F14" s="8" t="str">
        <f>IFERROR(IF(B14="","",RTD("octo.rtdserver","",B14,VLOOKUP($F$9,Plan3!$B:$C,2,0))),"")</f>
        <v/>
      </c>
      <c r="G14" s="8" t="str">
        <f>IFERROR(IF(B14="","",RTD("octo.rtdserver","",B14,VLOOKUP($G$9,Plan3!$B:$C,2,0))),"")</f>
        <v/>
      </c>
      <c r="H14" s="8" t="str">
        <f>IFERROR(IF(B14="","",RTD("octo.rtdserver","",B14,VLOOKUP($H$9,Plan3!$B:$C,2,0))),"")</f>
        <v/>
      </c>
      <c r="I14" s="8" t="str">
        <f>IFERROR(IF(B14="","",RTD("octo.rtdserver","",B14,VLOOKUP($I$9,Plan3!$B:$C,2,0))),"")</f>
        <v/>
      </c>
      <c r="J14" s="8" t="str">
        <f>IFERROR(IF(B14="","",RTD("octo.rtdserver","",B14,VLOOKUP($J$9,Plan3!$B:$C,2,0))),"")</f>
        <v/>
      </c>
      <c r="K14" s="8" t="str">
        <f>IFERROR(IF(B14="","",RTD("octo.rtdserver","",B14,VLOOKUP($K$9,Plan3!$B:$C,2,0))),"")</f>
        <v/>
      </c>
    </row>
    <row r="15" spans="2:11" x14ac:dyDescent="0.25">
      <c r="C15" s="8" t="str">
        <f>IFERROR(IF(B15="","",RTD("octo.rtdserver","",B15,VLOOKUP($C$9,Plan3!$B:$C,2,0))),"")</f>
        <v/>
      </c>
      <c r="D15" s="8" t="str">
        <f>IFERROR(IF(B15="","",RTD("octo.rtdserver","",B15,VLOOKUP($D$9,Plan3!$B:$C,2,0))),"")</f>
        <v/>
      </c>
      <c r="E15" s="8" t="str">
        <f>IFERROR(IF(B15="","",RTD("octo.rtdserver","",B15,VLOOKUP($E$9,Plan3!$B:$C,2,0))),"")</f>
        <v/>
      </c>
      <c r="F15" s="8" t="str">
        <f>IFERROR(IF(B15="","",RTD("octo.rtdserver","",B15,VLOOKUP($F$9,Plan3!$B:$C,2,0))),"")</f>
        <v/>
      </c>
      <c r="G15" s="8" t="str">
        <f>IFERROR(IF(B15="","",RTD("octo.rtdserver","",B15,VLOOKUP($G$9,Plan3!$B:$C,2,0))),"")</f>
        <v/>
      </c>
      <c r="H15" s="8" t="str">
        <f>IFERROR(IF(B15="","",RTD("octo.rtdserver","",B15,VLOOKUP($H$9,Plan3!$B:$C,2,0))),"")</f>
        <v/>
      </c>
      <c r="I15" s="8" t="str">
        <f>IFERROR(IF(B15="","",RTD("octo.rtdserver","",B15,VLOOKUP($I$9,Plan3!$B:$C,2,0))),"")</f>
        <v/>
      </c>
      <c r="J15" s="8" t="str">
        <f>IFERROR(IF(B15="","",RTD("octo.rtdserver","",B15,VLOOKUP($J$9,Plan3!$B:$C,2,0))),"")</f>
        <v/>
      </c>
      <c r="K15" s="8" t="str">
        <f>IFERROR(IF(B15="","",RTD("octo.rtdserver","",B15,VLOOKUP($K$9,Plan3!$B:$C,2,0))),"")</f>
        <v/>
      </c>
    </row>
    <row r="16" spans="2:11" x14ac:dyDescent="0.25">
      <c r="C16" s="8" t="str">
        <f>IFERROR(IF(B16="","",RTD("octo.rtdserver","",B16,VLOOKUP($C$9,Plan3!$B:$C,2,0))),"")</f>
        <v/>
      </c>
      <c r="D16" s="8" t="str">
        <f>IFERROR(IF(B16="","",RTD("octo.rtdserver","",B16,VLOOKUP($D$9,Plan3!$B:$C,2,0))),"")</f>
        <v/>
      </c>
      <c r="E16" s="8" t="str">
        <f>IFERROR(IF(B16="","",RTD("octo.rtdserver","",B16,VLOOKUP($E$9,Plan3!$B:$C,2,0))),"")</f>
        <v/>
      </c>
      <c r="F16" s="8" t="str">
        <f>IFERROR(IF(B16="","",RTD("octo.rtdserver","",B16,VLOOKUP($F$9,Plan3!$B:$C,2,0))),"")</f>
        <v/>
      </c>
      <c r="G16" s="8" t="str">
        <f>IFERROR(IF(B16="","",RTD("octo.rtdserver","",B16,VLOOKUP($G$9,Plan3!$B:$C,2,0))),"")</f>
        <v/>
      </c>
      <c r="H16" s="8" t="str">
        <f>IFERROR(IF(B16="","",RTD("octo.rtdserver","",B16,VLOOKUP($H$9,Plan3!$B:$C,2,0))),"")</f>
        <v/>
      </c>
      <c r="I16" s="8" t="str">
        <f>IFERROR(IF(B16="","",RTD("octo.rtdserver","",B16,VLOOKUP($I$9,Plan3!$B:$C,2,0))),"")</f>
        <v/>
      </c>
      <c r="J16" s="8" t="str">
        <f>IFERROR(IF(B16="","",RTD("octo.rtdserver","",B16,VLOOKUP($J$9,Plan3!$B:$C,2,0))),"")</f>
        <v/>
      </c>
      <c r="K16" s="8" t="str">
        <f>IFERROR(IF(B16="","",RTD("octo.rtdserver","",B16,VLOOKUP($K$9,Plan3!$B:$C,2,0))),"")</f>
        <v/>
      </c>
    </row>
    <row r="17" spans="3:11" x14ac:dyDescent="0.25">
      <c r="C17" s="8" t="str">
        <f>IFERROR(IF(B17="","",RTD("octo.rtdserver","",B17,VLOOKUP($C$9,Plan3!$B:$C,2,0))),"")</f>
        <v/>
      </c>
      <c r="D17" s="8" t="str">
        <f>IFERROR(IF(B17="","",RTD("octo.rtdserver","",B17,VLOOKUP($D$9,Plan3!$B:$C,2,0))),"")</f>
        <v/>
      </c>
      <c r="E17" s="8" t="str">
        <f>IFERROR(IF(B17="","",RTD("octo.rtdserver","",B17,VLOOKUP($E$9,Plan3!$B:$C,2,0))),"")</f>
        <v/>
      </c>
      <c r="F17" s="8" t="str">
        <f>IFERROR(IF(B17="","",RTD("octo.rtdserver","",B17,VLOOKUP($F$9,Plan3!$B:$C,2,0))),"")</f>
        <v/>
      </c>
      <c r="G17" s="8" t="str">
        <f>IFERROR(IF(B17="","",RTD("octo.rtdserver","",B17,VLOOKUP($G$9,Plan3!$B:$C,2,0))),"")</f>
        <v/>
      </c>
      <c r="H17" s="8" t="str">
        <f>IFERROR(IF(B17="","",RTD("octo.rtdserver","",B17,VLOOKUP($H$9,Plan3!$B:$C,2,0))),"")</f>
        <v/>
      </c>
      <c r="I17" s="8" t="str">
        <f>IFERROR(IF(B17="","",RTD("octo.rtdserver","",B17,VLOOKUP($I$9,Plan3!$B:$C,2,0))),"")</f>
        <v/>
      </c>
      <c r="J17" s="8" t="str">
        <f>IFERROR(IF(B17="","",RTD("octo.rtdserver","",B17,VLOOKUP($J$9,Plan3!$B:$C,2,0))),"")</f>
        <v/>
      </c>
      <c r="K17" s="8" t="str">
        <f>IFERROR(IF(B17="","",RTD("octo.rtdserver","",B17,VLOOKUP($K$9,Plan3!$B:$C,2,0))),"")</f>
        <v/>
      </c>
    </row>
    <row r="18" spans="3:11" x14ac:dyDescent="0.25">
      <c r="C18" s="8" t="str">
        <f>IFERROR(IF(B18="","",RTD("octo.rtdserver","",B18,VLOOKUP($C$9,Plan3!$B:$C,2,0))),"")</f>
        <v/>
      </c>
      <c r="D18" s="8" t="str">
        <f>IFERROR(IF(B18="","",RTD("octo.rtdserver","",B18,VLOOKUP($D$9,Plan3!$B:$C,2,0))),"")</f>
        <v/>
      </c>
      <c r="E18" s="8" t="str">
        <f>IFERROR(IF(B18="","",RTD("octo.rtdserver","",B18,VLOOKUP($E$9,Plan3!$B:$C,2,0))),"")</f>
        <v/>
      </c>
      <c r="F18" s="8" t="str">
        <f>IFERROR(IF(B18="","",RTD("octo.rtdserver","",B18,VLOOKUP($F$9,Plan3!$B:$C,2,0))),"")</f>
        <v/>
      </c>
      <c r="G18" s="8" t="str">
        <f>IFERROR(IF(B18="","",RTD("octo.rtdserver","",B18,VLOOKUP($G$9,Plan3!$B:$C,2,0))),"")</f>
        <v/>
      </c>
      <c r="H18" s="8" t="str">
        <f>IFERROR(IF(B18="","",RTD("octo.rtdserver","",B18,VLOOKUP($H$9,Plan3!$B:$C,2,0))),"")</f>
        <v/>
      </c>
      <c r="I18" s="8" t="str">
        <f>IFERROR(IF(B18="","",RTD("octo.rtdserver","",B18,VLOOKUP($I$9,Plan3!$B:$C,2,0))),"")</f>
        <v/>
      </c>
      <c r="J18" s="8" t="str">
        <f>IFERROR(IF(B18="","",RTD("octo.rtdserver","",B18,VLOOKUP($J$9,Plan3!$B:$C,2,0))),"")</f>
        <v/>
      </c>
      <c r="K18" s="8" t="str">
        <f>IFERROR(IF(B18="","",RTD("octo.rtdserver","",B18,VLOOKUP($K$9,Plan3!$B:$C,2,0))),"")</f>
        <v/>
      </c>
    </row>
    <row r="19" spans="3:11" x14ac:dyDescent="0.25">
      <c r="C19" s="8" t="str">
        <f>IFERROR(IF(B19="","",RTD("octo.rtdserver","",B19,VLOOKUP($C$9,Plan3!$B:$C,2,0))),"")</f>
        <v/>
      </c>
      <c r="D19" s="8" t="str">
        <f>IFERROR(IF(B19="","",RTD("octo.rtdserver","",B19,VLOOKUP($D$9,Plan3!$B:$C,2,0))),"")</f>
        <v/>
      </c>
      <c r="E19" s="8" t="str">
        <f>IFERROR(IF(B19="","",RTD("octo.rtdserver","",B19,VLOOKUP($E$9,Plan3!$B:$C,2,0))),"")</f>
        <v/>
      </c>
      <c r="F19" s="8" t="str">
        <f>IFERROR(IF(B19="","",RTD("octo.rtdserver","",B19,VLOOKUP($F$9,Plan3!$B:$C,2,0))),"")</f>
        <v/>
      </c>
      <c r="G19" s="8" t="str">
        <f>IFERROR(IF(B19="","",RTD("octo.rtdserver","",B19,VLOOKUP($G$9,Plan3!$B:$C,2,0))),"")</f>
        <v/>
      </c>
      <c r="H19" s="8" t="str">
        <f>IFERROR(IF(B19="","",RTD("octo.rtdserver","",B19,VLOOKUP($H$9,Plan3!$B:$C,2,0))),"")</f>
        <v/>
      </c>
      <c r="I19" s="8" t="str">
        <f>IFERROR(IF(B19="","",RTD("octo.rtdserver","",B19,VLOOKUP($I$9,Plan3!$B:$C,2,0))),"")</f>
        <v/>
      </c>
      <c r="J19" s="8" t="str">
        <f>IFERROR(IF(B19="","",RTD("octo.rtdserver","",B19,VLOOKUP($J$9,Plan3!$B:$C,2,0))),"")</f>
        <v/>
      </c>
      <c r="K19" s="8" t="str">
        <f>IFERROR(IF(B19="","",RTD("octo.rtdserver","",B19,VLOOKUP($K$9,Plan3!$B:$C,2,0))),"")</f>
        <v/>
      </c>
    </row>
    <row r="20" spans="3:11" x14ac:dyDescent="0.25">
      <c r="C20" s="8" t="str">
        <f>IFERROR(IF(B20="","",RTD("octo.rtdserver","",B20,VLOOKUP($C$9,Plan3!$B:$C,2,0))),"")</f>
        <v/>
      </c>
      <c r="D20" s="8" t="str">
        <f>IFERROR(IF(B20="","",RTD("octo.rtdserver","",B20,VLOOKUP($D$9,Plan3!$B:$C,2,0))),"")</f>
        <v/>
      </c>
      <c r="E20" s="8" t="str">
        <f>IFERROR(IF(B20="","",RTD("octo.rtdserver","",B20,VLOOKUP($E$9,Plan3!$B:$C,2,0))),"")</f>
        <v/>
      </c>
      <c r="F20" s="8" t="str">
        <f>IFERROR(IF(B20="","",RTD("octo.rtdserver","",B20,VLOOKUP($F$9,Plan3!$B:$C,2,0))),"")</f>
        <v/>
      </c>
      <c r="G20" s="8" t="str">
        <f>IFERROR(IF(B20="","",RTD("octo.rtdserver","",B20,VLOOKUP($G$9,Plan3!$B:$C,2,0))),"")</f>
        <v/>
      </c>
      <c r="H20" s="8" t="str">
        <f>IFERROR(IF(B20="","",RTD("octo.rtdserver","",B20,VLOOKUP($H$9,Plan3!$B:$C,2,0))),"")</f>
        <v/>
      </c>
      <c r="I20" s="8" t="str">
        <f>IFERROR(IF(B20="","",RTD("octo.rtdserver","",B20,VLOOKUP($I$9,Plan3!$B:$C,2,0))),"")</f>
        <v/>
      </c>
      <c r="J20" s="8" t="str">
        <f>IFERROR(IF(B20="","",RTD("octo.rtdserver","",B20,VLOOKUP($J$9,Plan3!$B:$C,2,0))),"")</f>
        <v/>
      </c>
      <c r="K20" s="8" t="str">
        <f>IFERROR(IF(B20="","",RTD("octo.rtdserver","",B20,VLOOKUP($K$9,Plan3!$B:$C,2,0))),"")</f>
        <v/>
      </c>
    </row>
    <row r="21" spans="3:11" x14ac:dyDescent="0.25">
      <c r="C21" s="8" t="str">
        <f>IFERROR(IF(B21="","",RTD("octo.rtdserver","",B21,VLOOKUP($C$9,Plan3!$B:$C,2,0))),"")</f>
        <v/>
      </c>
      <c r="D21" s="8" t="str">
        <f>IFERROR(IF(B21="","",RTD("octo.rtdserver","",B21,VLOOKUP($D$9,Plan3!$B:$C,2,0))),"")</f>
        <v/>
      </c>
      <c r="E21" s="8" t="str">
        <f>IFERROR(IF(B21="","",RTD("octo.rtdserver","",B21,VLOOKUP($E$9,Plan3!$B:$C,2,0))),"")</f>
        <v/>
      </c>
      <c r="F21" s="8" t="str">
        <f>IFERROR(IF(B21="","",RTD("octo.rtdserver","",B21,VLOOKUP($F$9,Plan3!$B:$C,2,0))),"")</f>
        <v/>
      </c>
      <c r="G21" s="8" t="str">
        <f>IFERROR(IF(B21="","",RTD("octo.rtdserver","",B21,VLOOKUP($G$9,Plan3!$B:$C,2,0))),"")</f>
        <v/>
      </c>
      <c r="H21" s="8" t="str">
        <f>IFERROR(IF(B21="","",RTD("octo.rtdserver","",B21,VLOOKUP($H$9,Plan3!$B:$C,2,0))),"")</f>
        <v/>
      </c>
      <c r="I21" s="8" t="str">
        <f>IFERROR(IF(B21="","",RTD("octo.rtdserver","",B21,VLOOKUP($I$9,Plan3!$B:$C,2,0))),"")</f>
        <v/>
      </c>
      <c r="J21" s="8" t="str">
        <f>IFERROR(IF(B21="","",RTD("octo.rtdserver","",B21,VLOOKUP($J$9,Plan3!$B:$C,2,0))),"")</f>
        <v/>
      </c>
      <c r="K21" s="8" t="str">
        <f>IFERROR(IF(B21="","",RTD("octo.rtdserver","",B21,VLOOKUP($K$9,Plan3!$B:$C,2,0))),"")</f>
        <v/>
      </c>
    </row>
    <row r="22" spans="3:11" x14ac:dyDescent="0.25">
      <c r="C22" s="8" t="str">
        <f>IFERROR(IF(B22="","",RTD("octo.rtdserver","",B22,VLOOKUP($C$9,Plan3!$B:$C,2,0))),"")</f>
        <v/>
      </c>
      <c r="D22" s="8" t="str">
        <f>IFERROR(IF(B22="","",RTD("octo.rtdserver","",B22,VLOOKUP($D$9,Plan3!$B:$C,2,0))),"")</f>
        <v/>
      </c>
      <c r="E22" s="8" t="str">
        <f>IFERROR(IF(B22="","",RTD("octo.rtdserver","",B22,VLOOKUP($E$9,Plan3!$B:$C,2,0))),"")</f>
        <v/>
      </c>
      <c r="F22" s="8" t="str">
        <f>IFERROR(IF(B22="","",RTD("octo.rtdserver","",B22,VLOOKUP($F$9,Plan3!$B:$C,2,0))),"")</f>
        <v/>
      </c>
      <c r="G22" s="8" t="str">
        <f>IFERROR(IF(B22="","",RTD("octo.rtdserver","",B22,VLOOKUP($G$9,Plan3!$B:$C,2,0))),"")</f>
        <v/>
      </c>
      <c r="H22" s="8" t="str">
        <f>IFERROR(IF(B22="","",RTD("octo.rtdserver","",B22,VLOOKUP($H$9,Plan3!$B:$C,2,0))),"")</f>
        <v/>
      </c>
      <c r="I22" s="8" t="str">
        <f>IFERROR(IF(B22="","",RTD("octo.rtdserver","",B22,VLOOKUP($I$9,Plan3!$B:$C,2,0))),"")</f>
        <v/>
      </c>
      <c r="J22" s="8" t="str">
        <f>IFERROR(IF(B22="","",RTD("octo.rtdserver","",B22,VLOOKUP($J$9,Plan3!$B:$C,2,0))),"")</f>
        <v/>
      </c>
      <c r="K22" s="8" t="str">
        <f>IFERROR(IF(B22="","",RTD("octo.rtdserver","",B22,VLOOKUP($K$9,Plan3!$B:$C,2,0))),"")</f>
        <v/>
      </c>
    </row>
    <row r="23" spans="3:11" x14ac:dyDescent="0.25">
      <c r="C23" s="8" t="str">
        <f>IFERROR(IF(B23="","",RTD("octo.rtdserver","",B23,VLOOKUP($C$9,Plan3!$B:$C,2,0))),"")</f>
        <v/>
      </c>
      <c r="D23" s="8" t="str">
        <f>IFERROR(IF(B23="","",RTD("octo.rtdserver","",B23,VLOOKUP($D$9,Plan3!$B:$C,2,0))),"")</f>
        <v/>
      </c>
      <c r="E23" s="8" t="str">
        <f>IFERROR(IF(B23="","",RTD("octo.rtdserver","",B23,VLOOKUP($E$9,Plan3!$B:$C,2,0))),"")</f>
        <v/>
      </c>
      <c r="F23" s="8" t="str">
        <f>IFERROR(IF(B23="","",RTD("octo.rtdserver","",B23,VLOOKUP($F$9,Plan3!$B:$C,2,0))),"")</f>
        <v/>
      </c>
      <c r="G23" s="8" t="str">
        <f>IFERROR(IF(B23="","",RTD("octo.rtdserver","",B23,VLOOKUP($G$9,Plan3!$B:$C,2,0))),"")</f>
        <v/>
      </c>
      <c r="H23" s="8" t="str">
        <f>IFERROR(IF(B23="","",RTD("octo.rtdserver","",B23,VLOOKUP($H$9,Plan3!$B:$C,2,0))),"")</f>
        <v/>
      </c>
      <c r="I23" s="8" t="str">
        <f>IFERROR(IF(B23="","",RTD("octo.rtdserver","",B23,VLOOKUP($I$9,Plan3!$B:$C,2,0))),"")</f>
        <v/>
      </c>
      <c r="J23" s="8" t="str">
        <f>IFERROR(IF(B23="","",RTD("octo.rtdserver","",B23,VLOOKUP($J$9,Plan3!$B:$C,2,0))),"")</f>
        <v/>
      </c>
      <c r="K23" s="8" t="str">
        <f>IFERROR(IF(B23="","",RTD("octo.rtdserver","",B23,VLOOKUP($K$9,Plan3!$B:$C,2,0))),"")</f>
        <v/>
      </c>
    </row>
    <row r="24" spans="3:11" x14ac:dyDescent="0.25">
      <c r="C24" s="8" t="str">
        <f>IFERROR(IF(B24="","",RTD("octo.rtdserver","",B24,VLOOKUP($C$9,Plan3!$B:$C,2,0))),"")</f>
        <v/>
      </c>
      <c r="D24" s="8" t="str">
        <f>IFERROR(IF(B24="","",RTD("octo.rtdserver","",B24,VLOOKUP($D$9,Plan3!$B:$C,2,0))),"")</f>
        <v/>
      </c>
      <c r="E24" s="8" t="str">
        <f>IFERROR(IF(B24="","",RTD("octo.rtdserver","",B24,VLOOKUP($E$9,Plan3!$B:$C,2,0))),"")</f>
        <v/>
      </c>
      <c r="F24" s="8" t="str">
        <f>IFERROR(IF(B24="","",RTD("octo.rtdserver","",B24,VLOOKUP($F$9,Plan3!$B:$C,2,0))),"")</f>
        <v/>
      </c>
      <c r="G24" s="8" t="str">
        <f>IFERROR(IF(B24="","",RTD("octo.rtdserver","",B24,VLOOKUP($G$9,Plan3!$B:$C,2,0))),"")</f>
        <v/>
      </c>
      <c r="H24" s="8" t="str">
        <f>IFERROR(IF(B24="","",RTD("octo.rtdserver","",B24,VLOOKUP($H$9,Plan3!$B:$C,2,0))),"")</f>
        <v/>
      </c>
      <c r="I24" s="8" t="str">
        <f>IFERROR(IF(B24="","",RTD("octo.rtdserver","",B24,VLOOKUP($I$9,Plan3!$B:$C,2,0))),"")</f>
        <v/>
      </c>
      <c r="J24" s="8" t="str">
        <f>IFERROR(IF(B24="","",RTD("octo.rtdserver","",B24,VLOOKUP($J$9,Plan3!$B:$C,2,0))),"")</f>
        <v/>
      </c>
      <c r="K24" s="8" t="str">
        <f>IFERROR(IF(B24="","",RTD("octo.rtdserver","",B24,VLOOKUP($K$9,Plan3!$B:$C,2,0))),"")</f>
        <v/>
      </c>
    </row>
    <row r="25" spans="3:11" x14ac:dyDescent="0.25">
      <c r="C25" s="8" t="str">
        <f>IFERROR(IF(B25="","",RTD("octo.rtdserver","",B25,VLOOKUP($C$9,Plan3!$B:$C,2,0))),"")</f>
        <v/>
      </c>
      <c r="D25" s="8" t="str">
        <f>IFERROR(IF(B25="","",RTD("octo.rtdserver","",B25,VLOOKUP($D$9,Plan3!$B:$C,2,0))),"")</f>
        <v/>
      </c>
      <c r="E25" s="8" t="str">
        <f>IFERROR(IF(B25="","",RTD("octo.rtdserver","",B25,VLOOKUP($E$9,Plan3!$B:$C,2,0))),"")</f>
        <v/>
      </c>
      <c r="F25" s="8" t="str">
        <f>IFERROR(IF(B25="","",RTD("octo.rtdserver","",B25,VLOOKUP($F$9,Plan3!$B:$C,2,0))),"")</f>
        <v/>
      </c>
      <c r="G25" s="8" t="str">
        <f>IFERROR(IF(B25="","",RTD("octo.rtdserver","",B25,VLOOKUP($G$9,Plan3!$B:$C,2,0))),"")</f>
        <v/>
      </c>
      <c r="H25" s="8" t="str">
        <f>IFERROR(IF(B25="","",RTD("octo.rtdserver","",B25,VLOOKUP($H$9,Plan3!$B:$C,2,0))),"")</f>
        <v/>
      </c>
      <c r="I25" s="8" t="str">
        <f>IFERROR(IF(B25="","",RTD("octo.rtdserver","",B25,VLOOKUP($I$9,Plan3!$B:$C,2,0))),"")</f>
        <v/>
      </c>
      <c r="J25" s="8" t="str">
        <f>IFERROR(IF(B25="","",RTD("octo.rtdserver","",B25,VLOOKUP($J$9,Plan3!$B:$C,2,0))),"")</f>
        <v/>
      </c>
      <c r="K25" s="8" t="str">
        <f>IFERROR(IF(B25="","",RTD("octo.rtdserver","",B25,VLOOKUP($K$9,Plan3!$B:$C,2,0))),"")</f>
        <v/>
      </c>
    </row>
    <row r="26" spans="3:11" x14ac:dyDescent="0.25">
      <c r="C26" s="8" t="str">
        <f>IFERROR(IF(B26="","",RTD("octo.rtdserver","",B26,VLOOKUP($C$9,Plan3!$B:$C,2,0))),"")</f>
        <v/>
      </c>
      <c r="D26" s="8" t="str">
        <f>IFERROR(IF(B26="","",RTD("octo.rtdserver","",B26,VLOOKUP($D$9,Plan3!$B:$C,2,0))),"")</f>
        <v/>
      </c>
      <c r="E26" s="8" t="str">
        <f>IFERROR(IF(B26="","",RTD("octo.rtdserver","",B26,VLOOKUP($E$9,Plan3!$B:$C,2,0))),"")</f>
        <v/>
      </c>
      <c r="F26" s="8" t="str">
        <f>IFERROR(IF(B26="","",RTD("octo.rtdserver","",B26,VLOOKUP($F$9,Plan3!$B:$C,2,0))),"")</f>
        <v/>
      </c>
      <c r="G26" s="8" t="str">
        <f>IFERROR(IF(B26="","",RTD("octo.rtdserver","",B26,VLOOKUP($G$9,Plan3!$B:$C,2,0))),"")</f>
        <v/>
      </c>
      <c r="H26" s="8" t="str">
        <f>IFERROR(IF(B26="","",RTD("octo.rtdserver","",B26,VLOOKUP($H$9,Plan3!$B:$C,2,0))),"")</f>
        <v/>
      </c>
      <c r="I26" s="8" t="str">
        <f>IFERROR(IF(B26="","",RTD("octo.rtdserver","",B26,VLOOKUP($I$9,Plan3!$B:$C,2,0))),"")</f>
        <v/>
      </c>
      <c r="J26" s="8" t="str">
        <f>IFERROR(IF(B26="","",RTD("octo.rtdserver","",B26,VLOOKUP($J$9,Plan3!$B:$C,2,0))),"")</f>
        <v/>
      </c>
      <c r="K26" s="8" t="str">
        <f>IFERROR(IF(B26="","",RTD("octo.rtdserver","",B26,VLOOKUP($K$9,Plan3!$B:$C,2,0))),"")</f>
        <v/>
      </c>
    </row>
    <row r="27" spans="3:11" x14ac:dyDescent="0.25">
      <c r="C27" s="8" t="str">
        <f>IFERROR(IF(B27="","",RTD("octo.rtdserver","",B27,VLOOKUP($C$9,Plan3!$B:$C,2,0))),"")</f>
        <v/>
      </c>
      <c r="D27" s="8" t="str">
        <f>IFERROR(IF(B27="","",RTD("octo.rtdserver","",B27,VLOOKUP($D$9,Plan3!$B:$C,2,0))),"")</f>
        <v/>
      </c>
      <c r="E27" s="8" t="str">
        <f>IFERROR(IF(B27="","",RTD("octo.rtdserver","",B27,VLOOKUP($E$9,Plan3!$B:$C,2,0))),"")</f>
        <v/>
      </c>
      <c r="F27" s="8" t="str">
        <f>IFERROR(IF(B27="","",RTD("octo.rtdserver","",B27,VLOOKUP($F$9,Plan3!$B:$C,2,0))),"")</f>
        <v/>
      </c>
      <c r="G27" s="8" t="str">
        <f>IFERROR(IF(B27="","",RTD("octo.rtdserver","",B27,VLOOKUP($G$9,Plan3!$B:$C,2,0))),"")</f>
        <v/>
      </c>
      <c r="H27" s="8" t="str">
        <f>IFERROR(IF(B27="","",RTD("octo.rtdserver","",B27,VLOOKUP($H$9,Plan3!$B:$C,2,0))),"")</f>
        <v/>
      </c>
      <c r="I27" s="8" t="str">
        <f>IFERROR(IF(B27="","",RTD("octo.rtdserver","",B27,VLOOKUP($I$9,Plan3!$B:$C,2,0))),"")</f>
        <v/>
      </c>
      <c r="J27" s="8" t="str">
        <f>IFERROR(IF(B27="","",RTD("octo.rtdserver","",B27,VLOOKUP($J$9,Plan3!$B:$C,2,0))),"")</f>
        <v/>
      </c>
      <c r="K27" s="8" t="str">
        <f>IFERROR(IF(B27="","",RTD("octo.rtdserver","",B27,VLOOKUP($K$9,Plan3!$B:$C,2,0))),"")</f>
        <v/>
      </c>
    </row>
    <row r="28" spans="3:11" x14ac:dyDescent="0.25">
      <c r="C28" s="8" t="str">
        <f>IFERROR(IF(B28="","",RTD("octo.rtdserver","",B28,VLOOKUP($C$9,Plan3!$B:$C,2,0))),"")</f>
        <v/>
      </c>
      <c r="D28" s="8" t="str">
        <f>IFERROR(IF(B28="","",RTD("octo.rtdserver","",B28,VLOOKUP($D$9,Plan3!$B:$C,2,0))),"")</f>
        <v/>
      </c>
      <c r="E28" s="8" t="str">
        <f>IFERROR(IF(B28="","",RTD("octo.rtdserver","",B28,VLOOKUP($E$9,Plan3!$B:$C,2,0))),"")</f>
        <v/>
      </c>
      <c r="F28" s="8" t="str">
        <f>IFERROR(IF(B28="","",RTD("octo.rtdserver","",B28,VLOOKUP($F$9,Plan3!$B:$C,2,0))),"")</f>
        <v/>
      </c>
      <c r="G28" s="8" t="str">
        <f>IFERROR(IF(B28="","",RTD("octo.rtdserver","",B28,VLOOKUP($G$9,Plan3!$B:$C,2,0))),"")</f>
        <v/>
      </c>
      <c r="H28" s="8" t="str">
        <f>IFERROR(IF(B28="","",RTD("octo.rtdserver","",B28,VLOOKUP($H$9,Plan3!$B:$C,2,0))),"")</f>
        <v/>
      </c>
      <c r="I28" s="8" t="str">
        <f>IFERROR(IF(B28="","",RTD("octo.rtdserver","",B28,VLOOKUP($I$9,Plan3!$B:$C,2,0))),"")</f>
        <v/>
      </c>
      <c r="J28" s="8" t="str">
        <f>IFERROR(IF(B28="","",RTD("octo.rtdserver","",B28,VLOOKUP($J$9,Plan3!$B:$C,2,0))),"")</f>
        <v/>
      </c>
      <c r="K28" s="8" t="str">
        <f>IFERROR(IF(B28="","",RTD("octo.rtdserver","",B28,VLOOKUP($K$9,Plan3!$B:$C,2,0))),"")</f>
        <v/>
      </c>
    </row>
    <row r="29" spans="3:11" x14ac:dyDescent="0.25">
      <c r="C29" s="8" t="str">
        <f>IFERROR(IF(B29="","",RTD("octo.rtdserver","",B29,VLOOKUP($C$9,Plan3!$B:$C,2,0))),"")</f>
        <v/>
      </c>
      <c r="D29" s="8" t="str">
        <f>IFERROR(IF(B29="","",RTD("octo.rtdserver","",B29,VLOOKUP($D$9,Plan3!$B:$C,2,0))),"")</f>
        <v/>
      </c>
      <c r="E29" s="8" t="str">
        <f>IFERROR(IF(B29="","",RTD("octo.rtdserver","",B29,VLOOKUP($E$9,Plan3!$B:$C,2,0))),"")</f>
        <v/>
      </c>
      <c r="F29" s="8" t="str">
        <f>IFERROR(IF(B29="","",RTD("octo.rtdserver","",B29,VLOOKUP($F$9,Plan3!$B:$C,2,0))),"")</f>
        <v/>
      </c>
      <c r="G29" s="8" t="str">
        <f>IFERROR(IF(B29="","",RTD("octo.rtdserver","",B29,VLOOKUP($G$9,Plan3!$B:$C,2,0))),"")</f>
        <v/>
      </c>
      <c r="H29" s="8" t="str">
        <f>IFERROR(IF(B29="","",RTD("octo.rtdserver","",B29,VLOOKUP($H$9,Plan3!$B:$C,2,0))),"")</f>
        <v/>
      </c>
      <c r="I29" s="8" t="str">
        <f>IFERROR(IF(B29="","",RTD("octo.rtdserver","",B29,VLOOKUP($I$9,Plan3!$B:$C,2,0))),"")</f>
        <v/>
      </c>
      <c r="J29" s="8" t="str">
        <f>IFERROR(IF(B29="","",RTD("octo.rtdserver","",B29,VLOOKUP($J$9,Plan3!$B:$C,2,0))),"")</f>
        <v/>
      </c>
      <c r="K29" s="8" t="str">
        <f>IFERROR(IF(B29="","",RTD("octo.rtdserver","",B29,VLOOKUP($K$9,Plan3!$B:$C,2,0))),"")</f>
        <v/>
      </c>
    </row>
    <row r="30" spans="3:11" x14ac:dyDescent="0.25">
      <c r="C30" s="8" t="str">
        <f>IFERROR(IF(B30="","",RTD("octo.rtdserver","",B30,VLOOKUP($C$9,Plan3!$B:$C,2,0))),"")</f>
        <v/>
      </c>
      <c r="D30" s="8" t="str">
        <f>IFERROR(IF(B30="","",RTD("octo.rtdserver","",B30,VLOOKUP($D$9,Plan3!$B:$C,2,0))),"")</f>
        <v/>
      </c>
      <c r="E30" s="8" t="str">
        <f>IFERROR(IF(B30="","",RTD("octo.rtdserver","",B30,VLOOKUP($E$9,Plan3!$B:$C,2,0))),"")</f>
        <v/>
      </c>
      <c r="F30" s="8" t="str">
        <f>IFERROR(IF(B30="","",RTD("octo.rtdserver","",B30,VLOOKUP($F$9,Plan3!$B:$C,2,0))),"")</f>
        <v/>
      </c>
      <c r="G30" s="8" t="str">
        <f>IFERROR(IF(B30="","",RTD("octo.rtdserver","",B30,VLOOKUP($G$9,Plan3!$B:$C,2,0))),"")</f>
        <v/>
      </c>
      <c r="H30" s="8" t="str">
        <f>IFERROR(IF(B30="","",RTD("octo.rtdserver","",B30,VLOOKUP($H$9,Plan3!$B:$C,2,0))),"")</f>
        <v/>
      </c>
      <c r="I30" s="8" t="str">
        <f>IFERROR(IF(B30="","",RTD("octo.rtdserver","",B30,VLOOKUP($I$9,Plan3!$B:$C,2,0))),"")</f>
        <v/>
      </c>
      <c r="J30" s="8" t="str">
        <f>IFERROR(IF(B30="","",RTD("octo.rtdserver","",B30,VLOOKUP($J$9,Plan3!$B:$C,2,0))),"")</f>
        <v/>
      </c>
      <c r="K30" s="8" t="str">
        <f>IFERROR(IF(B30="","",RTD("octo.rtdserver","",B30,VLOOKUP($K$9,Plan3!$B:$C,2,0))),"")</f>
        <v/>
      </c>
    </row>
    <row r="31" spans="3:11" x14ac:dyDescent="0.25">
      <c r="C31" s="8" t="str">
        <f>IFERROR(IF(B31="","",RTD("octo.rtdserver","",B31,VLOOKUP($C$9,Plan3!$B:$C,2,0))),"")</f>
        <v/>
      </c>
      <c r="D31" s="8" t="str">
        <f>IFERROR(IF(B31="","",RTD("octo.rtdserver","",B31,VLOOKUP($D$9,Plan3!$B:$C,2,0))),"")</f>
        <v/>
      </c>
      <c r="E31" s="8" t="str">
        <f>IFERROR(IF(B31="","",RTD("octo.rtdserver","",B31,VLOOKUP($E$9,Plan3!$B:$C,2,0))),"")</f>
        <v/>
      </c>
      <c r="F31" s="8" t="str">
        <f>IFERROR(IF(B31="","",RTD("octo.rtdserver","",B31,VLOOKUP($F$9,Plan3!$B:$C,2,0))),"")</f>
        <v/>
      </c>
      <c r="G31" s="8" t="str">
        <f>IFERROR(IF(B31="","",RTD("octo.rtdserver","",B31,VLOOKUP($G$9,Plan3!$B:$C,2,0))),"")</f>
        <v/>
      </c>
      <c r="H31" s="8" t="str">
        <f>IFERROR(IF(B31="","",RTD("octo.rtdserver","",B31,VLOOKUP($H$9,Plan3!$B:$C,2,0))),"")</f>
        <v/>
      </c>
      <c r="I31" s="8" t="str">
        <f>IFERROR(IF(B31="","",RTD("octo.rtdserver","",B31,VLOOKUP($I$9,Plan3!$B:$C,2,0))),"")</f>
        <v/>
      </c>
      <c r="J31" s="8" t="str">
        <f>IFERROR(IF(B31="","",RTD("octo.rtdserver","",B31,VLOOKUP($J$9,Plan3!$B:$C,2,0))),"")</f>
        <v/>
      </c>
      <c r="K31" s="8" t="str">
        <f>IFERROR(IF(B31="","",RTD("octo.rtdserver","",B31,VLOOKUP($K$9,Plan3!$B:$C,2,0))),"")</f>
        <v/>
      </c>
    </row>
    <row r="32" spans="3:11" x14ac:dyDescent="0.25">
      <c r="C32" s="8" t="str">
        <f>IFERROR(IF(B32="","",RTD("octo.rtdserver","",B32,VLOOKUP($C$9,Plan3!$B:$C,2,0))),"")</f>
        <v/>
      </c>
      <c r="D32" s="8" t="str">
        <f>IFERROR(IF(B32="","",RTD("octo.rtdserver","",B32,VLOOKUP($D$9,Plan3!$B:$C,2,0))),"")</f>
        <v/>
      </c>
      <c r="E32" s="8" t="str">
        <f>IFERROR(IF(B32="","",RTD("octo.rtdserver","",B32,VLOOKUP($E$9,Plan3!$B:$C,2,0))),"")</f>
        <v/>
      </c>
      <c r="F32" s="8" t="str">
        <f>IFERROR(IF(B32="","",RTD("octo.rtdserver","",B32,VLOOKUP($F$9,Plan3!$B:$C,2,0))),"")</f>
        <v/>
      </c>
      <c r="G32" s="8" t="str">
        <f>IFERROR(IF(B32="","",RTD("octo.rtdserver","",B32,VLOOKUP($G$9,Plan3!$B:$C,2,0))),"")</f>
        <v/>
      </c>
      <c r="H32" s="8" t="str">
        <f>IFERROR(IF(B32="","",RTD("octo.rtdserver","",B32,VLOOKUP($H$9,Plan3!$B:$C,2,0))),"")</f>
        <v/>
      </c>
      <c r="I32" s="8" t="str">
        <f>IFERROR(IF(B32="","",RTD("octo.rtdserver","",B32,VLOOKUP($I$9,Plan3!$B:$C,2,0))),"")</f>
        <v/>
      </c>
      <c r="J32" s="8" t="str">
        <f>IFERROR(IF(B32="","",RTD("octo.rtdserver","",B32,VLOOKUP($J$9,Plan3!$B:$C,2,0))),"")</f>
        <v/>
      </c>
      <c r="K32" s="8" t="str">
        <f>IFERROR(IF(B32="","",RTD("octo.rtdserver","",B32,VLOOKUP($K$9,Plan3!$B:$C,2,0))),"")</f>
        <v/>
      </c>
    </row>
    <row r="33" spans="3:11" x14ac:dyDescent="0.25">
      <c r="C33" s="8" t="str">
        <f>IFERROR(IF(B33="","",RTD("octo.rtdserver","",B33,VLOOKUP($C$9,Plan3!$B:$C,2,0))),"")</f>
        <v/>
      </c>
      <c r="D33" s="8" t="str">
        <f>IFERROR(IF(B33="","",RTD("octo.rtdserver","",B33,VLOOKUP($D$9,Plan3!$B:$C,2,0))),"")</f>
        <v/>
      </c>
      <c r="E33" s="8" t="str">
        <f>IFERROR(IF(B33="","",RTD("octo.rtdserver","",B33,VLOOKUP($E$9,Plan3!$B:$C,2,0))),"")</f>
        <v/>
      </c>
      <c r="F33" s="8" t="str">
        <f>IFERROR(IF(B33="","",RTD("octo.rtdserver","",B33,VLOOKUP($F$9,Plan3!$B:$C,2,0))),"")</f>
        <v/>
      </c>
      <c r="G33" s="8" t="str">
        <f>IFERROR(IF(B33="","",RTD("octo.rtdserver","",B33,VLOOKUP($G$9,Plan3!$B:$C,2,0))),"")</f>
        <v/>
      </c>
      <c r="H33" s="8" t="str">
        <f>IFERROR(IF(B33="","",RTD("octo.rtdserver","",B33,VLOOKUP($H$9,Plan3!$B:$C,2,0))),"")</f>
        <v/>
      </c>
      <c r="I33" s="8" t="str">
        <f>IFERROR(IF(B33="","",RTD("octo.rtdserver","",B33,VLOOKUP($I$9,Plan3!$B:$C,2,0))),"")</f>
        <v/>
      </c>
      <c r="J33" s="8" t="str">
        <f>IFERROR(IF(B33="","",RTD("octo.rtdserver","",B33,VLOOKUP($J$9,Plan3!$B:$C,2,0))),"")</f>
        <v/>
      </c>
      <c r="K33" s="8" t="str">
        <f>IFERROR(IF(B33="","",RTD("octo.rtdserver","",B33,VLOOKUP($K$9,Plan3!$B:$C,2,0))),"")</f>
        <v/>
      </c>
    </row>
    <row r="34" spans="3:11" x14ac:dyDescent="0.25">
      <c r="C34" s="8" t="str">
        <f>IFERROR(IF(B34="","",RTD("octo.rtdserver","",B34,VLOOKUP($C$9,Plan3!$B:$C,2,0))),"")</f>
        <v/>
      </c>
      <c r="D34" s="8" t="str">
        <f>IFERROR(IF(B34="","",RTD("octo.rtdserver","",B34,VLOOKUP($D$9,Plan3!$B:$C,2,0))),"")</f>
        <v/>
      </c>
      <c r="E34" s="8" t="str">
        <f>IFERROR(IF(B34="","",RTD("octo.rtdserver","",B34,VLOOKUP($E$9,Plan3!$B:$C,2,0))),"")</f>
        <v/>
      </c>
      <c r="F34" s="8" t="str">
        <f>IFERROR(IF(B34="","",RTD("octo.rtdserver","",B34,VLOOKUP($F$9,Plan3!$B:$C,2,0))),"")</f>
        <v/>
      </c>
      <c r="G34" s="8" t="str">
        <f>IFERROR(IF(B34="","",RTD("octo.rtdserver","",B34,VLOOKUP($G$9,Plan3!$B:$C,2,0))),"")</f>
        <v/>
      </c>
      <c r="H34" s="8" t="str">
        <f>IFERROR(IF(B34="","",RTD("octo.rtdserver","",B34,VLOOKUP($H$9,Plan3!$B:$C,2,0))),"")</f>
        <v/>
      </c>
      <c r="I34" s="8" t="str">
        <f>IFERROR(IF(B34="","",RTD("octo.rtdserver","",B34,VLOOKUP($I$9,Plan3!$B:$C,2,0))),"")</f>
        <v/>
      </c>
      <c r="J34" s="8" t="str">
        <f>IFERROR(IF(B34="","",RTD("octo.rtdserver","",B34,VLOOKUP($J$9,Plan3!$B:$C,2,0))),"")</f>
        <v/>
      </c>
      <c r="K34" s="8" t="str">
        <f>IFERROR(IF(B34="","",RTD("octo.rtdserver","",B34,VLOOKUP($K$9,Plan3!$B:$C,2,0))),"")</f>
        <v/>
      </c>
    </row>
    <row r="35" spans="3:11" x14ac:dyDescent="0.25">
      <c r="C35" s="8" t="str">
        <f>IFERROR(IF(B35="","",RTD("octo.rtdserver","",B35,VLOOKUP($C$9,Plan3!$B:$C,2,0))),"")</f>
        <v/>
      </c>
      <c r="D35" s="8" t="str">
        <f>IFERROR(IF(B35="","",RTD("octo.rtdserver","",B35,VLOOKUP($D$9,Plan3!$B:$C,2,0))),"")</f>
        <v/>
      </c>
      <c r="E35" s="8" t="str">
        <f>IFERROR(IF(B35="","",RTD("octo.rtdserver","",B35,VLOOKUP($E$9,Plan3!$B:$C,2,0))),"")</f>
        <v/>
      </c>
      <c r="F35" s="8" t="str">
        <f>IFERROR(IF(B35="","",RTD("octo.rtdserver","",B35,VLOOKUP($F$9,Plan3!$B:$C,2,0))),"")</f>
        <v/>
      </c>
      <c r="G35" s="8" t="str">
        <f>IFERROR(IF(B35="","",RTD("octo.rtdserver","",B35,VLOOKUP($G$9,Plan3!$B:$C,2,0))),"")</f>
        <v/>
      </c>
      <c r="H35" s="8" t="str">
        <f>IFERROR(IF(B35="","",RTD("octo.rtdserver","",B35,VLOOKUP($H$9,Plan3!$B:$C,2,0))),"")</f>
        <v/>
      </c>
      <c r="I35" s="8" t="str">
        <f>IFERROR(IF(B35="","",RTD("octo.rtdserver","",B35,VLOOKUP($I$9,Plan3!$B:$C,2,0))),"")</f>
        <v/>
      </c>
      <c r="J35" s="8" t="str">
        <f>IFERROR(IF(B35="","",RTD("octo.rtdserver","",B35,VLOOKUP($J$9,Plan3!$B:$C,2,0))),"")</f>
        <v/>
      </c>
      <c r="K35" s="8" t="str">
        <f>IFERROR(IF(B35="","",RTD("octo.rtdserver","",B35,VLOOKUP($K$9,Plan3!$B:$C,2,0))),"")</f>
        <v/>
      </c>
    </row>
    <row r="36" spans="3:11" x14ac:dyDescent="0.25">
      <c r="C36" s="8" t="str">
        <f>IFERROR(IF(B36="","",RTD("octo.rtdserver","",B36,VLOOKUP($C$9,Plan3!$B:$C,2,0))),"")</f>
        <v/>
      </c>
      <c r="D36" s="8" t="str">
        <f>IFERROR(IF(B36="","",RTD("octo.rtdserver","",B36,VLOOKUP($D$9,Plan3!$B:$C,2,0))),"")</f>
        <v/>
      </c>
      <c r="E36" s="8" t="str">
        <f>IFERROR(IF(B36="","",RTD("octo.rtdserver","",B36,VLOOKUP($E$9,Plan3!$B:$C,2,0))),"")</f>
        <v/>
      </c>
      <c r="F36" s="8" t="str">
        <f>IFERROR(IF(B36="","",RTD("octo.rtdserver","",B36,VLOOKUP($F$9,Plan3!$B:$C,2,0))),"")</f>
        <v/>
      </c>
      <c r="G36" s="8" t="str">
        <f>IFERROR(IF(B36="","",RTD("octo.rtdserver","",B36,VLOOKUP($G$9,Plan3!$B:$C,2,0))),"")</f>
        <v/>
      </c>
      <c r="H36" s="8" t="str">
        <f>IFERROR(IF(B36="","",RTD("octo.rtdserver","",B36,VLOOKUP($H$9,Plan3!$B:$C,2,0))),"")</f>
        <v/>
      </c>
      <c r="I36" s="8" t="str">
        <f>IFERROR(IF(B36="","",RTD("octo.rtdserver","",B36,VLOOKUP($I$9,Plan3!$B:$C,2,0))),"")</f>
        <v/>
      </c>
      <c r="J36" s="8" t="str">
        <f>IFERROR(IF(B36="","",RTD("octo.rtdserver","",B36,VLOOKUP($J$9,Plan3!$B:$C,2,0))),"")</f>
        <v/>
      </c>
      <c r="K36" s="8" t="str">
        <f>IFERROR(IF(B36="","",RTD("octo.rtdserver","",B36,VLOOKUP($K$9,Plan3!$B:$C,2,0))),"")</f>
        <v/>
      </c>
    </row>
    <row r="37" spans="3:11" x14ac:dyDescent="0.25">
      <c r="C37" s="8" t="str">
        <f>IFERROR(IF(B37="","",RTD("octo.rtdserver","",B37,VLOOKUP($C$9,Plan3!$B:$C,2,0))),"")</f>
        <v/>
      </c>
      <c r="D37" s="8" t="str">
        <f>IFERROR(IF(B37="","",RTD("octo.rtdserver","",B37,VLOOKUP($D$9,Plan3!$B:$C,2,0))),"")</f>
        <v/>
      </c>
      <c r="E37" s="8" t="str">
        <f>IFERROR(IF(B37="","",RTD("octo.rtdserver","",B37,VLOOKUP($E$9,Plan3!$B:$C,2,0))),"")</f>
        <v/>
      </c>
      <c r="F37" s="8" t="str">
        <f>IFERROR(IF(B37="","",RTD("octo.rtdserver","",B37,VLOOKUP($F$9,Plan3!$B:$C,2,0))),"")</f>
        <v/>
      </c>
      <c r="G37" s="8" t="str">
        <f>IFERROR(IF(B37="","",RTD("octo.rtdserver","",B37,VLOOKUP($G$9,Plan3!$B:$C,2,0))),"")</f>
        <v/>
      </c>
      <c r="H37" s="8" t="str">
        <f>IFERROR(IF(B37="","",RTD("octo.rtdserver","",B37,VLOOKUP($H$9,Plan3!$B:$C,2,0))),"")</f>
        <v/>
      </c>
      <c r="I37" s="8" t="str">
        <f>IFERROR(IF(B37="","",RTD("octo.rtdserver","",B37,VLOOKUP($I$9,Plan3!$B:$C,2,0))),"")</f>
        <v/>
      </c>
      <c r="J37" s="8" t="str">
        <f>IFERROR(IF(B37="","",RTD("octo.rtdserver","",B37,VLOOKUP($J$9,Plan3!$B:$C,2,0))),"")</f>
        <v/>
      </c>
      <c r="K37" s="8" t="str">
        <f>IFERROR(IF(B37="","",RTD("octo.rtdserver","",B37,VLOOKUP($K$9,Plan3!$B:$C,2,0))),"")</f>
        <v/>
      </c>
    </row>
    <row r="38" spans="3:11" x14ac:dyDescent="0.25">
      <c r="C38" s="8" t="str">
        <f>IFERROR(IF(B38="","",RTD("octo.rtdserver","",B38,VLOOKUP($C$9,Plan3!$B:$C,2,0))),"")</f>
        <v/>
      </c>
      <c r="D38" s="8" t="str">
        <f>IFERROR(IF(B38="","",RTD("octo.rtdserver","",B38,VLOOKUP($D$9,Plan3!$B:$C,2,0))),"")</f>
        <v/>
      </c>
      <c r="E38" s="8" t="str">
        <f>IFERROR(IF(B38="","",RTD("octo.rtdserver","",B38,VLOOKUP($E$9,Plan3!$B:$C,2,0))),"")</f>
        <v/>
      </c>
      <c r="F38" s="8" t="str">
        <f>IFERROR(IF(B38="","",RTD("octo.rtdserver","",B38,VLOOKUP($F$9,Plan3!$B:$C,2,0))),"")</f>
        <v/>
      </c>
      <c r="G38" s="8" t="str">
        <f>IFERROR(IF(B38="","",RTD("octo.rtdserver","",B38,VLOOKUP($G$9,Plan3!$B:$C,2,0))),"")</f>
        <v/>
      </c>
      <c r="H38" s="8" t="str">
        <f>IFERROR(IF(B38="","",RTD("octo.rtdserver","",B38,VLOOKUP($H$9,Plan3!$B:$C,2,0))),"")</f>
        <v/>
      </c>
      <c r="I38" s="8" t="str">
        <f>IFERROR(IF(B38="","",RTD("octo.rtdserver","",B38,VLOOKUP($I$9,Plan3!$B:$C,2,0))),"")</f>
        <v/>
      </c>
      <c r="J38" s="8" t="str">
        <f>IFERROR(IF(B38="","",RTD("octo.rtdserver","",B38,VLOOKUP($J$9,Plan3!$B:$C,2,0))),"")</f>
        <v/>
      </c>
      <c r="K38" s="8" t="str">
        <f>IFERROR(IF(B38="","",RTD("octo.rtdserver","",B38,VLOOKUP($K$9,Plan3!$B:$C,2,0))),"")</f>
        <v/>
      </c>
    </row>
    <row r="39" spans="3:11" x14ac:dyDescent="0.25">
      <c r="C39" s="8" t="str">
        <f>IFERROR(IF(B39="","",RTD("octo.rtdserver","",B39,VLOOKUP($C$9,Plan3!$B:$C,2,0))),"")</f>
        <v/>
      </c>
      <c r="D39" s="8" t="str">
        <f>IFERROR(IF(B39="","",RTD("octo.rtdserver","",B39,VLOOKUP($D$9,Plan3!$B:$C,2,0))),"")</f>
        <v/>
      </c>
      <c r="E39" s="8" t="str">
        <f>IFERROR(IF(B39="","",RTD("octo.rtdserver","",B39,VLOOKUP($E$9,Plan3!$B:$C,2,0))),"")</f>
        <v/>
      </c>
      <c r="F39" s="8" t="str">
        <f>IFERROR(IF(B39="","",RTD("octo.rtdserver","",B39,VLOOKUP($F$9,Plan3!$B:$C,2,0))),"")</f>
        <v/>
      </c>
      <c r="G39" s="8" t="str">
        <f>IFERROR(IF(B39="","",RTD("octo.rtdserver","",B39,VLOOKUP($G$9,Plan3!$B:$C,2,0))),"")</f>
        <v/>
      </c>
      <c r="H39" s="8" t="str">
        <f>IFERROR(IF(B39="","",RTD("octo.rtdserver","",B39,VLOOKUP($H$9,Plan3!$B:$C,2,0))),"")</f>
        <v/>
      </c>
      <c r="I39" s="8" t="str">
        <f>IFERROR(IF(B39="","",RTD("octo.rtdserver","",B39,VLOOKUP($I$9,Plan3!$B:$C,2,0))),"")</f>
        <v/>
      </c>
      <c r="J39" s="8" t="str">
        <f>IFERROR(IF(B39="","",RTD("octo.rtdserver","",B39,VLOOKUP($J$9,Plan3!$B:$C,2,0))),"")</f>
        <v/>
      </c>
      <c r="K39" s="8" t="str">
        <f>IFERROR(IF(B39="","",RTD("octo.rtdserver","",B39,VLOOKUP($K$9,Plan3!$B:$C,2,0))),"")</f>
        <v/>
      </c>
    </row>
    <row r="40" spans="3:11" x14ac:dyDescent="0.25">
      <c r="C40" s="8" t="str">
        <f>IFERROR(IF(B40="","",RTD("octo.rtdserver","",B40,VLOOKUP($C$9,Plan3!$B:$C,2,0))),"")</f>
        <v/>
      </c>
      <c r="D40" s="8" t="str">
        <f>IFERROR(IF(B40="","",RTD("octo.rtdserver","",B40,VLOOKUP($D$9,Plan3!$B:$C,2,0))),"")</f>
        <v/>
      </c>
      <c r="E40" s="8" t="str">
        <f>IFERROR(IF(B40="","",RTD("octo.rtdserver","",B40,VLOOKUP($E$9,Plan3!$B:$C,2,0))),"")</f>
        <v/>
      </c>
      <c r="F40" s="8" t="str">
        <f>IFERROR(IF(B40="","",RTD("octo.rtdserver","",B40,VLOOKUP($F$9,Plan3!$B:$C,2,0))),"")</f>
        <v/>
      </c>
      <c r="G40" s="8" t="str">
        <f>IFERROR(IF(B40="","",RTD("octo.rtdserver","",B40,VLOOKUP($G$9,Plan3!$B:$C,2,0))),"")</f>
        <v/>
      </c>
      <c r="H40" s="8" t="str">
        <f>IFERROR(IF(B40="","",RTD("octo.rtdserver","",B40,VLOOKUP($H$9,Plan3!$B:$C,2,0))),"")</f>
        <v/>
      </c>
      <c r="I40" s="8" t="str">
        <f>IFERROR(IF(B40="","",RTD("octo.rtdserver","",B40,VLOOKUP($I$9,Plan3!$B:$C,2,0))),"")</f>
        <v/>
      </c>
      <c r="J40" s="8" t="str">
        <f>IFERROR(IF(B40="","",RTD("octo.rtdserver","",B40,VLOOKUP($J$9,Plan3!$B:$C,2,0))),"")</f>
        <v/>
      </c>
      <c r="K40" s="8" t="str">
        <f>IFERROR(IF(B40="","",RTD("octo.rtdserver","",B40,VLOOKUP($K$9,Plan3!$B:$C,2,0))),"")</f>
        <v/>
      </c>
    </row>
    <row r="41" spans="3:11" x14ac:dyDescent="0.25">
      <c r="C41" s="8" t="str">
        <f>IFERROR(IF(B41="","",RTD("octo.rtdserver","",B41,VLOOKUP($C$9,Plan3!$B:$C,2,0))),"")</f>
        <v/>
      </c>
      <c r="D41" s="8" t="str">
        <f>IFERROR(IF(B41="","",RTD("octo.rtdserver","",B41,VLOOKUP($D$9,Plan3!$B:$C,2,0))),"")</f>
        <v/>
      </c>
      <c r="E41" s="8" t="str">
        <f>IFERROR(IF(B41="","",RTD("octo.rtdserver","",B41,VLOOKUP($E$9,Plan3!$B:$C,2,0))),"")</f>
        <v/>
      </c>
      <c r="F41" s="8" t="str">
        <f>IFERROR(IF(B41="","",RTD("octo.rtdserver","",B41,VLOOKUP($F$9,Plan3!$B:$C,2,0))),"")</f>
        <v/>
      </c>
      <c r="G41" s="8" t="str">
        <f>IFERROR(IF(B41="","",RTD("octo.rtdserver","",B41,VLOOKUP($G$9,Plan3!$B:$C,2,0))),"")</f>
        <v/>
      </c>
      <c r="H41" s="8" t="str">
        <f>IFERROR(IF(B41="","",RTD("octo.rtdserver","",B41,VLOOKUP($H$9,Plan3!$B:$C,2,0))),"")</f>
        <v/>
      </c>
      <c r="I41" s="8" t="str">
        <f>IFERROR(IF(B41="","",RTD("octo.rtdserver","",B41,VLOOKUP($I$9,Plan3!$B:$C,2,0))),"")</f>
        <v/>
      </c>
      <c r="J41" s="8" t="str">
        <f>IFERROR(IF(B41="","",RTD("octo.rtdserver","",B41,VLOOKUP($J$9,Plan3!$B:$C,2,0))),"")</f>
        <v/>
      </c>
      <c r="K41" s="8" t="str">
        <f>IFERROR(IF(B41="","",RTD("octo.rtdserver","",B41,VLOOKUP($K$9,Plan3!$B:$C,2,0))),"")</f>
        <v/>
      </c>
    </row>
    <row r="42" spans="3:11" x14ac:dyDescent="0.25">
      <c r="C42" s="8" t="str">
        <f>IFERROR(IF(B42="","",RTD("octo.rtdserver","",B42,VLOOKUP($C$9,Plan3!$B:$C,2,0))),"")</f>
        <v/>
      </c>
      <c r="D42" s="8" t="str">
        <f>IFERROR(IF(B42="","",RTD("octo.rtdserver","",B42,VLOOKUP($D$9,Plan3!$B:$C,2,0))),"")</f>
        <v/>
      </c>
      <c r="E42" s="8" t="str">
        <f>IFERROR(IF(B42="","",RTD("octo.rtdserver","",B42,VLOOKUP($E$9,Plan3!$B:$C,2,0))),"")</f>
        <v/>
      </c>
      <c r="F42" s="8" t="str">
        <f>IFERROR(IF(B42="","",RTD("octo.rtdserver","",B42,VLOOKUP($F$9,Plan3!$B:$C,2,0))),"")</f>
        <v/>
      </c>
      <c r="G42" s="8" t="str">
        <f>IFERROR(IF(B42="","",RTD("octo.rtdserver","",B42,VLOOKUP($G$9,Plan3!$B:$C,2,0))),"")</f>
        <v/>
      </c>
      <c r="H42" s="8" t="str">
        <f>IFERROR(IF(B42="","",RTD("octo.rtdserver","",B42,VLOOKUP($H$9,Plan3!$B:$C,2,0))),"")</f>
        <v/>
      </c>
      <c r="I42" s="8" t="str">
        <f>IFERROR(IF(B42="","",RTD("octo.rtdserver","",B42,VLOOKUP($I$9,Plan3!$B:$C,2,0))),"")</f>
        <v/>
      </c>
      <c r="J42" s="8" t="str">
        <f>IFERROR(IF(B42="","",RTD("octo.rtdserver","",B42,VLOOKUP($J$9,Plan3!$B:$C,2,0))),"")</f>
        <v/>
      </c>
      <c r="K42" s="8" t="str">
        <f>IFERROR(IF(B42="","",RTD("octo.rtdserver","",B42,VLOOKUP($K$9,Plan3!$B:$C,2,0))),"")</f>
        <v/>
      </c>
    </row>
    <row r="43" spans="3:11" x14ac:dyDescent="0.25">
      <c r="C43" s="8" t="str">
        <f>IFERROR(IF(B43="","",RTD("octo.rtdserver","",B43,VLOOKUP($C$9,Plan3!$B:$C,2,0))),"")</f>
        <v/>
      </c>
      <c r="D43" s="8" t="str">
        <f>IFERROR(IF(B43="","",RTD("octo.rtdserver","",B43,VLOOKUP($D$9,Plan3!$B:$C,2,0))),"")</f>
        <v/>
      </c>
      <c r="E43" s="8" t="str">
        <f>IFERROR(IF(B43="","",RTD("octo.rtdserver","",B43,VLOOKUP($E$9,Plan3!$B:$C,2,0))),"")</f>
        <v/>
      </c>
      <c r="F43" s="8" t="str">
        <f>IFERROR(IF(B43="","",RTD("octo.rtdserver","",B43,VLOOKUP($F$9,Plan3!$B:$C,2,0))),"")</f>
        <v/>
      </c>
      <c r="G43" s="8" t="str">
        <f>IFERROR(IF(B43="","",RTD("octo.rtdserver","",B43,VLOOKUP($G$9,Plan3!$B:$C,2,0))),"")</f>
        <v/>
      </c>
      <c r="H43" s="8" t="str">
        <f>IFERROR(IF(B43="","",RTD("octo.rtdserver","",B43,VLOOKUP($H$9,Plan3!$B:$C,2,0))),"")</f>
        <v/>
      </c>
      <c r="I43" s="8" t="str">
        <f>IFERROR(IF(B43="","",RTD("octo.rtdserver","",B43,VLOOKUP($I$9,Plan3!$B:$C,2,0))),"")</f>
        <v/>
      </c>
      <c r="J43" s="8" t="str">
        <f>IFERROR(IF(B43="","",RTD("octo.rtdserver","",B43,VLOOKUP($J$9,Plan3!$B:$C,2,0))),"")</f>
        <v/>
      </c>
      <c r="K43" s="8" t="str">
        <f>IFERROR(IF(B43="","",RTD("octo.rtdserver","",B43,VLOOKUP($K$9,Plan3!$B:$C,2,0))),"")</f>
        <v/>
      </c>
    </row>
    <row r="44" spans="3:11" x14ac:dyDescent="0.25">
      <c r="C44" s="8" t="str">
        <f>IFERROR(IF(B44="","",RTD("octo.rtdserver","",B44,VLOOKUP($C$9,Plan3!$B:$C,2,0))),"")</f>
        <v/>
      </c>
      <c r="D44" s="8" t="str">
        <f>IFERROR(IF(B44="","",RTD("octo.rtdserver","",B44,VLOOKUP($D$9,Plan3!$B:$C,2,0))),"")</f>
        <v/>
      </c>
      <c r="E44" s="8" t="str">
        <f>IFERROR(IF(B44="","",RTD("octo.rtdserver","",B44,VLOOKUP($E$9,Plan3!$B:$C,2,0))),"")</f>
        <v/>
      </c>
      <c r="F44" s="8" t="str">
        <f>IFERROR(IF(B44="","",RTD("octo.rtdserver","",B44,VLOOKUP($F$9,Plan3!$B:$C,2,0))),"")</f>
        <v/>
      </c>
      <c r="G44" s="8" t="str">
        <f>IFERROR(IF(B44="","",RTD("octo.rtdserver","",B44,VLOOKUP($G$9,Plan3!$B:$C,2,0))),"")</f>
        <v/>
      </c>
      <c r="H44" s="8" t="str">
        <f>IFERROR(IF(B44="","",RTD("octo.rtdserver","",B44,VLOOKUP($H$9,Plan3!$B:$C,2,0))),"")</f>
        <v/>
      </c>
      <c r="I44" s="8" t="str">
        <f>IFERROR(IF(B44="","",RTD("octo.rtdserver","",B44,VLOOKUP($I$9,Plan3!$B:$C,2,0))),"")</f>
        <v/>
      </c>
      <c r="J44" s="8" t="str">
        <f>IFERROR(IF(B44="","",RTD("octo.rtdserver","",B44,VLOOKUP($J$9,Plan3!$B:$C,2,0))),"")</f>
        <v/>
      </c>
      <c r="K44" s="8" t="str">
        <f>IFERROR(IF(B44="","",RTD("octo.rtdserver","",B44,VLOOKUP($K$9,Plan3!$B:$C,2,0))),"")</f>
        <v/>
      </c>
    </row>
    <row r="45" spans="3:11" x14ac:dyDescent="0.25">
      <c r="C45" s="8" t="str">
        <f>IFERROR(IF(B45="","",RTD("octo.rtdserver","",B45,VLOOKUP($C$9,Plan3!$B:$C,2,0))),"")</f>
        <v/>
      </c>
      <c r="D45" s="8" t="str">
        <f>IFERROR(IF(B45="","",RTD("octo.rtdserver","",B45,VLOOKUP($D$9,Plan3!$B:$C,2,0))),"")</f>
        <v/>
      </c>
      <c r="E45" s="8" t="str">
        <f>IFERROR(IF(B45="","",RTD("octo.rtdserver","",B45,VLOOKUP($E$9,Plan3!$B:$C,2,0))),"")</f>
        <v/>
      </c>
      <c r="F45" s="8" t="str">
        <f>IFERROR(IF(B45="","",RTD("octo.rtdserver","",B45,VLOOKUP($F$9,Plan3!$B:$C,2,0))),"")</f>
        <v/>
      </c>
      <c r="G45" s="8" t="str">
        <f>IFERROR(IF(B45="","",RTD("octo.rtdserver","",B45,VLOOKUP($G$9,Plan3!$B:$C,2,0))),"")</f>
        <v/>
      </c>
      <c r="H45" s="8" t="str">
        <f>IFERROR(IF(B45="","",RTD("octo.rtdserver","",B45,VLOOKUP($H$9,Plan3!$B:$C,2,0))),"")</f>
        <v/>
      </c>
      <c r="I45" s="8" t="str">
        <f>IFERROR(IF(B45="","",RTD("octo.rtdserver","",B45,VLOOKUP($I$9,Plan3!$B:$C,2,0))),"")</f>
        <v/>
      </c>
      <c r="J45" s="8" t="str">
        <f>IFERROR(IF(B45="","",RTD("octo.rtdserver","",B45,VLOOKUP($J$9,Plan3!$B:$C,2,0))),"")</f>
        <v/>
      </c>
      <c r="K45" s="8" t="str">
        <f>IFERROR(IF(B45="","",RTD("octo.rtdserver","",B45,VLOOKUP($K$9,Plan3!$B:$C,2,0))),"")</f>
        <v/>
      </c>
    </row>
    <row r="46" spans="3:11" x14ac:dyDescent="0.25">
      <c r="C46" s="8" t="str">
        <f>IFERROR(IF(B46="","",RTD("octo.rtdserver","",B46,VLOOKUP($C$9,Plan3!$B:$C,2,0))),"")</f>
        <v/>
      </c>
      <c r="D46" s="8" t="str">
        <f>IFERROR(IF(B46="","",RTD("octo.rtdserver","",B46,VLOOKUP($D$9,Plan3!$B:$C,2,0))),"")</f>
        <v/>
      </c>
      <c r="E46" s="8" t="str">
        <f>IFERROR(IF(B46="","",RTD("octo.rtdserver","",B46,VLOOKUP($E$9,Plan3!$B:$C,2,0))),"")</f>
        <v/>
      </c>
      <c r="F46" s="8" t="str">
        <f>IFERROR(IF(B46="","",RTD("octo.rtdserver","",B46,VLOOKUP($F$9,Plan3!$B:$C,2,0))),"")</f>
        <v/>
      </c>
      <c r="G46" s="8" t="str">
        <f>IFERROR(IF(B46="","",RTD("octo.rtdserver","",B46,VLOOKUP($G$9,Plan3!$B:$C,2,0))),"")</f>
        <v/>
      </c>
      <c r="H46" s="8" t="str">
        <f>IFERROR(IF(B46="","",RTD("octo.rtdserver","",B46,VLOOKUP($H$9,Plan3!$B:$C,2,0))),"")</f>
        <v/>
      </c>
      <c r="I46" s="8" t="str">
        <f>IFERROR(IF(B46="","",RTD("octo.rtdserver","",B46,VLOOKUP($I$9,Plan3!$B:$C,2,0))),"")</f>
        <v/>
      </c>
      <c r="J46" s="8" t="str">
        <f>IFERROR(IF(B46="","",RTD("octo.rtdserver","",B46,VLOOKUP($J$9,Plan3!$B:$C,2,0))),"")</f>
        <v/>
      </c>
      <c r="K46" s="8" t="str">
        <f>IFERROR(IF(B46="","",RTD("octo.rtdserver","",B46,VLOOKUP($K$9,Plan3!$B:$C,2,0))),"")</f>
        <v/>
      </c>
    </row>
    <row r="47" spans="3:11" x14ac:dyDescent="0.25">
      <c r="C47" s="8" t="str">
        <f>IFERROR(IF(B47="","",RTD("octo.rtdserver","",B47,VLOOKUP($C$9,Plan3!$B:$C,2,0))),"")</f>
        <v/>
      </c>
      <c r="D47" s="8" t="str">
        <f>IFERROR(IF(B47="","",RTD("octo.rtdserver","",B47,VLOOKUP($D$9,Plan3!$B:$C,2,0))),"")</f>
        <v/>
      </c>
      <c r="E47" s="8" t="str">
        <f>IFERROR(IF(B47="","",RTD("octo.rtdserver","",B47,VLOOKUP($E$9,Plan3!$B:$C,2,0))),"")</f>
        <v/>
      </c>
      <c r="F47" s="8" t="str">
        <f>IFERROR(IF(B47="","",RTD("octo.rtdserver","",B47,VLOOKUP($F$9,Plan3!$B:$C,2,0))),"")</f>
        <v/>
      </c>
      <c r="G47" s="8" t="str">
        <f>IFERROR(IF(B47="","",RTD("octo.rtdserver","",B47,VLOOKUP($G$9,Plan3!$B:$C,2,0))),"")</f>
        <v/>
      </c>
      <c r="H47" s="8" t="str">
        <f>IFERROR(IF(B47="","",RTD("octo.rtdserver","",B47,VLOOKUP($H$9,Plan3!$B:$C,2,0))),"")</f>
        <v/>
      </c>
      <c r="I47" s="8" t="str">
        <f>IFERROR(IF(B47="","",RTD("octo.rtdserver","",B47,VLOOKUP($I$9,Plan3!$B:$C,2,0))),"")</f>
        <v/>
      </c>
      <c r="J47" s="8" t="str">
        <f>IFERROR(IF(B47="","",RTD("octo.rtdserver","",B47,VLOOKUP($J$9,Plan3!$B:$C,2,0))),"")</f>
        <v/>
      </c>
      <c r="K47" s="8" t="str">
        <f>IFERROR(IF(B47="","",RTD("octo.rtdserver","",B47,VLOOKUP($K$9,Plan3!$B:$C,2,0))),"")</f>
        <v/>
      </c>
    </row>
    <row r="48" spans="3:11" x14ac:dyDescent="0.25">
      <c r="C48" s="8" t="str">
        <f>IFERROR(IF(B48="","",RTD("octo.rtdserver","",B48,VLOOKUP($C$9,Plan3!$B:$C,2,0))),"")</f>
        <v/>
      </c>
      <c r="D48" s="8" t="str">
        <f>IFERROR(IF(B48="","",RTD("octo.rtdserver","",B48,VLOOKUP($D$9,Plan3!$B:$C,2,0))),"")</f>
        <v/>
      </c>
      <c r="E48" s="8" t="str">
        <f>IFERROR(IF(B48="","",RTD("octo.rtdserver","",B48,VLOOKUP($E$9,Plan3!$B:$C,2,0))),"")</f>
        <v/>
      </c>
      <c r="F48" s="8" t="str">
        <f>IFERROR(IF(B48="","",RTD("octo.rtdserver","",B48,VLOOKUP($F$9,Plan3!$B:$C,2,0))),"")</f>
        <v/>
      </c>
      <c r="G48" s="8" t="str">
        <f>IFERROR(IF(B48="","",RTD("octo.rtdserver","",B48,VLOOKUP($G$9,Plan3!$B:$C,2,0))),"")</f>
        <v/>
      </c>
      <c r="H48" s="8" t="str">
        <f>IFERROR(IF(B48="","",RTD("octo.rtdserver","",B48,VLOOKUP($H$9,Plan3!$B:$C,2,0))),"")</f>
        <v/>
      </c>
      <c r="I48" s="8" t="str">
        <f>IFERROR(IF(B48="","",RTD("octo.rtdserver","",B48,VLOOKUP($I$9,Plan3!$B:$C,2,0))),"")</f>
        <v/>
      </c>
      <c r="J48" s="8" t="str">
        <f>IFERROR(IF(B48="","",RTD("octo.rtdserver","",B48,VLOOKUP($J$9,Plan3!$B:$C,2,0))),"")</f>
        <v/>
      </c>
      <c r="K48" s="8" t="str">
        <f>IFERROR(IF(B48="","",RTD("octo.rtdserver","",B48,VLOOKUP($K$9,Plan3!$B:$C,2,0))),"")</f>
        <v/>
      </c>
    </row>
    <row r="49" spans="3:11" x14ac:dyDescent="0.25">
      <c r="C49" s="8" t="str">
        <f>IFERROR(IF(B49="","",RTD("octo.rtdserver","",B49,VLOOKUP($C$9,Plan3!$B:$C,2,0))),"")</f>
        <v/>
      </c>
      <c r="D49" s="8" t="str">
        <f>IFERROR(IF(B49="","",RTD("octo.rtdserver","",B49,VLOOKUP($D$9,Plan3!$B:$C,2,0))),"")</f>
        <v/>
      </c>
      <c r="E49" s="8" t="str">
        <f>IFERROR(IF(B49="","",RTD("octo.rtdserver","",B49,VLOOKUP($E$9,Plan3!$B:$C,2,0))),"")</f>
        <v/>
      </c>
      <c r="F49" s="8" t="str">
        <f>IFERROR(IF(B49="","",RTD("octo.rtdserver","",B49,VLOOKUP($F$9,Plan3!$B:$C,2,0))),"")</f>
        <v/>
      </c>
      <c r="G49" s="8" t="str">
        <f>IFERROR(IF(B49="","",RTD("octo.rtdserver","",B49,VLOOKUP($G$9,Plan3!$B:$C,2,0))),"")</f>
        <v/>
      </c>
      <c r="H49" s="8" t="str">
        <f>IFERROR(IF(B49="","",RTD("octo.rtdserver","",B49,VLOOKUP($H$9,Plan3!$B:$C,2,0))),"")</f>
        <v/>
      </c>
      <c r="I49" s="8" t="str">
        <f>IFERROR(IF(B49="","",RTD("octo.rtdserver","",B49,VLOOKUP($I$9,Plan3!$B:$C,2,0))),"")</f>
        <v/>
      </c>
      <c r="J49" s="8" t="str">
        <f>IFERROR(IF(B49="","",RTD("octo.rtdserver","",B49,VLOOKUP($J$9,Plan3!$B:$C,2,0))),"")</f>
        <v/>
      </c>
      <c r="K49" s="8" t="str">
        <f>IFERROR(IF(B49="","",RTD("octo.rtdserver","",B49,VLOOKUP($K$9,Plan3!$B:$C,2,0))),"")</f>
        <v/>
      </c>
    </row>
    <row r="50" spans="3:11" x14ac:dyDescent="0.25">
      <c r="C50" s="8" t="str">
        <f>IFERROR(IF(B50="","",RTD("octo.rtdserver","",B50,VLOOKUP($C$9,Plan3!$B:$C,2,0))),"")</f>
        <v/>
      </c>
      <c r="D50" s="8" t="str">
        <f>IFERROR(IF(B50="","",RTD("octo.rtdserver","",B50,VLOOKUP($D$9,Plan3!$B:$C,2,0))),"")</f>
        <v/>
      </c>
      <c r="E50" s="8" t="str">
        <f>IFERROR(IF(B50="","",RTD("octo.rtdserver","",B50,VLOOKUP($E$9,Plan3!$B:$C,2,0))),"")</f>
        <v/>
      </c>
      <c r="F50" s="8" t="str">
        <f>IFERROR(IF(B50="","",RTD("octo.rtdserver","",B50,VLOOKUP($F$9,Plan3!$B:$C,2,0))),"")</f>
        <v/>
      </c>
      <c r="G50" s="8" t="str">
        <f>IFERROR(IF(B50="","",RTD("octo.rtdserver","",B50,VLOOKUP($G$9,Plan3!$B:$C,2,0))),"")</f>
        <v/>
      </c>
      <c r="H50" s="8" t="str">
        <f>IFERROR(IF(B50="","",RTD("octo.rtdserver","",B50,VLOOKUP($H$9,Plan3!$B:$C,2,0))),"")</f>
        <v/>
      </c>
      <c r="I50" s="8" t="str">
        <f>IFERROR(IF(B50="","",RTD("octo.rtdserver","",B50,VLOOKUP($I$9,Plan3!$B:$C,2,0))),"")</f>
        <v/>
      </c>
      <c r="J50" s="8" t="str">
        <f>IFERROR(IF(B50="","",RTD("octo.rtdserver","",B50,VLOOKUP($J$9,Plan3!$B:$C,2,0))),"")</f>
        <v/>
      </c>
      <c r="K50" s="8" t="str">
        <f>IFERROR(IF(B50="","",RTD("octo.rtdserver","",B50,VLOOKUP($K$9,Plan3!$B:$C,2,0))),"")</f>
        <v/>
      </c>
    </row>
    <row r="51" spans="3:11" x14ac:dyDescent="0.25">
      <c r="C51" s="8" t="str">
        <f>IFERROR(IF(B51="","",RTD("octo.rtdserver","",B51,VLOOKUP($C$9,Plan3!$B:$C,2,0))),"")</f>
        <v/>
      </c>
      <c r="D51" s="8" t="str">
        <f>IFERROR(IF(B51="","",RTD("octo.rtdserver","",B51,VLOOKUP($D$9,Plan3!$B:$C,2,0))),"")</f>
        <v/>
      </c>
      <c r="E51" s="8" t="str">
        <f>IFERROR(IF(B51="","",RTD("octo.rtdserver","",B51,VLOOKUP($E$9,Plan3!$B:$C,2,0))),"")</f>
        <v/>
      </c>
      <c r="F51" s="8" t="str">
        <f>IFERROR(IF(B51="","",RTD("octo.rtdserver","",B51,VLOOKUP($F$9,Plan3!$B:$C,2,0))),"")</f>
        <v/>
      </c>
      <c r="G51" s="8" t="str">
        <f>IFERROR(IF(B51="","",RTD("octo.rtdserver","",B51,VLOOKUP($G$9,Plan3!$B:$C,2,0))),"")</f>
        <v/>
      </c>
      <c r="H51" s="8" t="str">
        <f>IFERROR(IF(B51="","",RTD("octo.rtdserver","",B51,VLOOKUP($H$9,Plan3!$B:$C,2,0))),"")</f>
        <v/>
      </c>
      <c r="I51" s="8" t="str">
        <f>IFERROR(IF(B51="","",RTD("octo.rtdserver","",B51,VLOOKUP($I$9,Plan3!$B:$C,2,0))),"")</f>
        <v/>
      </c>
      <c r="J51" s="8" t="str">
        <f>IFERROR(IF(B51="","",RTD("octo.rtdserver","",B51,VLOOKUP($J$9,Plan3!$B:$C,2,0))),"")</f>
        <v/>
      </c>
      <c r="K51" s="8" t="str">
        <f>IFERROR(IF(B51="","",RTD("octo.rtdserver","",B51,VLOOKUP($K$9,Plan3!$B:$C,2,0))),"")</f>
        <v/>
      </c>
    </row>
    <row r="52" spans="3:11" x14ac:dyDescent="0.25">
      <c r="C52" s="8" t="str">
        <f>IFERROR(IF(B52="","",RTD("octo.rtdserver","",B52,VLOOKUP($C$9,Plan3!$B:$C,2,0))),"")</f>
        <v/>
      </c>
      <c r="D52" s="8" t="str">
        <f>IFERROR(IF(B52="","",RTD("octo.rtdserver","",B52,VLOOKUP($D$9,Plan3!$B:$C,2,0))),"")</f>
        <v/>
      </c>
      <c r="E52" s="8" t="str">
        <f>IFERROR(IF(B52="","",RTD("octo.rtdserver","",B52,VLOOKUP($E$9,Plan3!$B:$C,2,0))),"")</f>
        <v/>
      </c>
      <c r="F52" s="8" t="str">
        <f>IFERROR(IF(B52="","",RTD("octo.rtdserver","",B52,VLOOKUP($F$9,Plan3!$B:$C,2,0))),"")</f>
        <v/>
      </c>
      <c r="G52" s="8" t="str">
        <f>IFERROR(IF(B52="","",RTD("octo.rtdserver","",B52,VLOOKUP($G$9,Plan3!$B:$C,2,0))),"")</f>
        <v/>
      </c>
      <c r="H52" s="8" t="str">
        <f>IFERROR(IF(B52="","",RTD("octo.rtdserver","",B52,VLOOKUP($H$9,Plan3!$B:$C,2,0))),"")</f>
        <v/>
      </c>
      <c r="I52" s="8" t="str">
        <f>IFERROR(IF(B52="","",RTD("octo.rtdserver","",B52,VLOOKUP($I$9,Plan3!$B:$C,2,0))),"")</f>
        <v/>
      </c>
      <c r="J52" s="8" t="str">
        <f>IFERROR(IF(B52="","",RTD("octo.rtdserver","",B52,VLOOKUP($J$9,Plan3!$B:$C,2,0))),"")</f>
        <v/>
      </c>
      <c r="K52" s="8" t="str">
        <f>IFERROR(IF(B52="","",RTD("octo.rtdserver","",B52,VLOOKUP($K$9,Plan3!$B:$C,2,0))),"")</f>
        <v/>
      </c>
    </row>
    <row r="53" spans="3:11" x14ac:dyDescent="0.25">
      <c r="C53" s="8" t="str">
        <f>IFERROR(IF(B53="","",RTD("octo.rtdserver","",B53,VLOOKUP($C$9,Plan3!$B:$C,2,0))),"")</f>
        <v/>
      </c>
      <c r="D53" s="8" t="str">
        <f>IFERROR(IF(B53="","",RTD("octo.rtdserver","",B53,VLOOKUP($D$9,Plan3!$B:$C,2,0))),"")</f>
        <v/>
      </c>
      <c r="E53" s="8" t="str">
        <f>IFERROR(IF(B53="","",RTD("octo.rtdserver","",B53,VLOOKUP($E$9,Plan3!$B:$C,2,0))),"")</f>
        <v/>
      </c>
      <c r="F53" s="8" t="str">
        <f>IFERROR(IF(B53="","",RTD("octo.rtdserver","",B53,VLOOKUP($F$9,Plan3!$B:$C,2,0))),"")</f>
        <v/>
      </c>
      <c r="G53" s="8" t="str">
        <f>IFERROR(IF(B53="","",RTD("octo.rtdserver","",B53,VLOOKUP($G$9,Plan3!$B:$C,2,0))),"")</f>
        <v/>
      </c>
      <c r="H53" s="8" t="str">
        <f>IFERROR(IF(B53="","",RTD("octo.rtdserver","",B53,VLOOKUP($H$9,Plan3!$B:$C,2,0))),"")</f>
        <v/>
      </c>
      <c r="I53" s="8" t="str">
        <f>IFERROR(IF(B53="","",RTD("octo.rtdserver","",B53,VLOOKUP($I$9,Plan3!$B:$C,2,0))),"")</f>
        <v/>
      </c>
      <c r="J53" s="8" t="str">
        <f>IFERROR(IF(B53="","",RTD("octo.rtdserver","",B53,VLOOKUP($J$9,Plan3!$B:$C,2,0))),"")</f>
        <v/>
      </c>
      <c r="K53" s="8" t="str">
        <f>IFERROR(IF(B53="","",RTD("octo.rtdserver","",B53,VLOOKUP($K$9,Plan3!$B:$C,2,0))),"")</f>
        <v/>
      </c>
    </row>
    <row r="54" spans="3:11" x14ac:dyDescent="0.25">
      <c r="C54" s="8" t="str">
        <f>IFERROR(IF(B54="","",RTD("octo.rtdserver","",B54,VLOOKUP($C$9,Plan3!$B:$C,2,0))),"")</f>
        <v/>
      </c>
      <c r="D54" s="8" t="str">
        <f>IFERROR(IF(B54="","",RTD("octo.rtdserver","",B54,VLOOKUP($D$9,Plan3!$B:$C,2,0))),"")</f>
        <v/>
      </c>
      <c r="E54" s="8" t="str">
        <f>IFERROR(IF(B54="","",RTD("octo.rtdserver","",B54,VLOOKUP($E$9,Plan3!$B:$C,2,0))),"")</f>
        <v/>
      </c>
      <c r="F54" s="8" t="str">
        <f>IFERROR(IF(B54="","",RTD("octo.rtdserver","",B54,VLOOKUP($F$9,Plan3!$B:$C,2,0))),"")</f>
        <v/>
      </c>
      <c r="G54" s="8" t="str">
        <f>IFERROR(IF(B54="","",RTD("octo.rtdserver","",B54,VLOOKUP($G$9,Plan3!$B:$C,2,0))),"")</f>
        <v/>
      </c>
      <c r="H54" s="8" t="str">
        <f>IFERROR(IF(B54="","",RTD("octo.rtdserver","",B54,VLOOKUP($H$9,Plan3!$B:$C,2,0))),"")</f>
        <v/>
      </c>
      <c r="I54" s="8" t="str">
        <f>IFERROR(IF(B54="","",RTD("octo.rtdserver","",B54,VLOOKUP($I$9,Plan3!$B:$C,2,0))),"")</f>
        <v/>
      </c>
      <c r="J54" s="8" t="str">
        <f>IFERROR(IF(B54="","",RTD("octo.rtdserver","",B54,VLOOKUP($J$9,Plan3!$B:$C,2,0))),"")</f>
        <v/>
      </c>
      <c r="K54" s="8" t="str">
        <f>IFERROR(IF(B54="","",RTD("octo.rtdserver","",B54,VLOOKUP($K$9,Plan3!$B:$C,2,0))),"")</f>
        <v/>
      </c>
    </row>
    <row r="55" spans="3:11" x14ac:dyDescent="0.25">
      <c r="C55" s="8" t="str">
        <f>IFERROR(IF(B55="","",RTD("octo.rtdserver","",B55,VLOOKUP($C$9,Plan3!$B:$C,2,0))),"")</f>
        <v/>
      </c>
      <c r="D55" s="8" t="str">
        <f>IFERROR(IF(B55="","",RTD("octo.rtdserver","",B55,VLOOKUP($D$9,Plan3!$B:$C,2,0))),"")</f>
        <v/>
      </c>
      <c r="E55" s="8" t="str">
        <f>IFERROR(IF(B55="","",RTD("octo.rtdserver","",B55,VLOOKUP($E$9,Plan3!$B:$C,2,0))),"")</f>
        <v/>
      </c>
      <c r="F55" s="8" t="str">
        <f>IFERROR(IF(B55="","",RTD("octo.rtdserver","",B55,VLOOKUP($F$9,Plan3!$B:$C,2,0))),"")</f>
        <v/>
      </c>
      <c r="G55" s="8" t="str">
        <f>IFERROR(IF(B55="","",RTD("octo.rtdserver","",B55,VLOOKUP($G$9,Plan3!$B:$C,2,0))),"")</f>
        <v/>
      </c>
      <c r="H55" s="8" t="str">
        <f>IFERROR(IF(B55="","",RTD("octo.rtdserver","",B55,VLOOKUP($H$9,Plan3!$B:$C,2,0))),"")</f>
        <v/>
      </c>
      <c r="I55" s="8" t="str">
        <f>IFERROR(IF(B55="","",RTD("octo.rtdserver","",B55,VLOOKUP($I$9,Plan3!$B:$C,2,0))),"")</f>
        <v/>
      </c>
      <c r="J55" s="8" t="str">
        <f>IFERROR(IF(B55="","",RTD("octo.rtdserver","",B55,VLOOKUP($J$9,Plan3!$B:$C,2,0))),"")</f>
        <v/>
      </c>
      <c r="K55" s="8" t="str">
        <f>IFERROR(IF(B55="","",RTD("octo.rtdserver","",B55,VLOOKUP($K$9,Plan3!$B:$C,2,0))),"")</f>
        <v/>
      </c>
    </row>
    <row r="56" spans="3:11" x14ac:dyDescent="0.25">
      <c r="C56" s="8" t="str">
        <f>IFERROR(IF(B56="","",RTD("octo.rtdserver","",B56,VLOOKUP($C$9,Plan3!$B:$C,2,0))),"")</f>
        <v/>
      </c>
      <c r="D56" s="8" t="str">
        <f>IFERROR(IF(B56="","",RTD("octo.rtdserver","",B56,VLOOKUP($D$9,Plan3!$B:$C,2,0))),"")</f>
        <v/>
      </c>
      <c r="E56" s="8" t="str">
        <f>IFERROR(IF(B56="","",RTD("octo.rtdserver","",B56,VLOOKUP($E$9,Plan3!$B:$C,2,0))),"")</f>
        <v/>
      </c>
      <c r="F56" s="8" t="str">
        <f>IFERROR(IF(B56="","",RTD("octo.rtdserver","",B56,VLOOKUP($F$9,Plan3!$B:$C,2,0))),"")</f>
        <v/>
      </c>
      <c r="G56" s="8" t="str">
        <f>IFERROR(IF(B56="","",RTD("octo.rtdserver","",B56,VLOOKUP($G$9,Plan3!$B:$C,2,0))),"")</f>
        <v/>
      </c>
      <c r="H56" s="8" t="str">
        <f>IFERROR(IF(B56="","",RTD("octo.rtdserver","",B56,VLOOKUP($H$9,Plan3!$B:$C,2,0))),"")</f>
        <v/>
      </c>
      <c r="I56" s="8" t="str">
        <f>IFERROR(IF(B56="","",RTD("octo.rtdserver","",B56,VLOOKUP($I$9,Plan3!$B:$C,2,0))),"")</f>
        <v/>
      </c>
      <c r="J56" s="8" t="str">
        <f>IFERROR(IF(B56="","",RTD("octo.rtdserver","",B56,VLOOKUP($J$9,Plan3!$B:$C,2,0))),"")</f>
        <v/>
      </c>
      <c r="K56" s="8" t="str">
        <f>IFERROR(IF(B56="","",RTD("octo.rtdserver","",B56,VLOOKUP($K$9,Plan3!$B:$C,2,0))),"")</f>
        <v/>
      </c>
    </row>
    <row r="57" spans="3:11" x14ac:dyDescent="0.25">
      <c r="C57" s="8" t="str">
        <f>IFERROR(IF(B57="","",RTD("octo.rtdserver","",B57,VLOOKUP($C$9,Plan3!$B:$C,2,0))),"")</f>
        <v/>
      </c>
      <c r="D57" s="8" t="str">
        <f>IFERROR(IF(B57="","",RTD("octo.rtdserver","",B57,VLOOKUP($D$9,Plan3!$B:$C,2,0))),"")</f>
        <v/>
      </c>
      <c r="E57" s="8" t="str">
        <f>IFERROR(IF(B57="","",RTD("octo.rtdserver","",B57,VLOOKUP($E$9,Plan3!$B:$C,2,0))),"")</f>
        <v/>
      </c>
      <c r="F57" s="8" t="str">
        <f>IFERROR(IF(B57="","",RTD("octo.rtdserver","",B57,VLOOKUP($F$9,Plan3!$B:$C,2,0))),"")</f>
        <v/>
      </c>
      <c r="G57" s="8" t="str">
        <f>IFERROR(IF(B57="","",RTD("octo.rtdserver","",B57,VLOOKUP($G$9,Plan3!$B:$C,2,0))),"")</f>
        <v/>
      </c>
      <c r="H57" s="8" t="str">
        <f>IFERROR(IF(B57="","",RTD("octo.rtdserver","",B57,VLOOKUP($H$9,Plan3!$B:$C,2,0))),"")</f>
        <v/>
      </c>
      <c r="I57" s="8" t="str">
        <f>IFERROR(IF(B57="","",RTD("octo.rtdserver","",B57,VLOOKUP($I$9,Plan3!$B:$C,2,0))),"")</f>
        <v/>
      </c>
      <c r="J57" s="8" t="str">
        <f>IFERROR(IF(B57="","",RTD("octo.rtdserver","",B57,VLOOKUP($J$9,Plan3!$B:$C,2,0))),"")</f>
        <v/>
      </c>
      <c r="K57" s="8" t="str">
        <f>IFERROR(IF(B57="","",RTD("octo.rtdserver","",B57,VLOOKUP($K$9,Plan3!$B:$C,2,0))),"")</f>
        <v/>
      </c>
    </row>
    <row r="58" spans="3:11" x14ac:dyDescent="0.25">
      <c r="C58" s="8" t="str">
        <f>IFERROR(IF(B58="","",RTD("octo.rtdserver","",B58,VLOOKUP($C$9,Plan3!$B:$C,2,0))),"")</f>
        <v/>
      </c>
      <c r="D58" s="8" t="str">
        <f>IFERROR(IF(B58="","",RTD("octo.rtdserver","",B58,VLOOKUP($D$9,Plan3!$B:$C,2,0))),"")</f>
        <v/>
      </c>
      <c r="E58" s="8" t="str">
        <f>IFERROR(IF(B58="","",RTD("octo.rtdserver","",B58,VLOOKUP($E$9,Plan3!$B:$C,2,0))),"")</f>
        <v/>
      </c>
      <c r="F58" s="8" t="str">
        <f>IFERROR(IF(B58="","",RTD("octo.rtdserver","",B58,VLOOKUP($F$9,Plan3!$B:$C,2,0))),"")</f>
        <v/>
      </c>
      <c r="G58" s="8" t="str">
        <f>IFERROR(IF(B58="","",RTD("octo.rtdserver","",B58,VLOOKUP($G$9,Plan3!$B:$C,2,0))),"")</f>
        <v/>
      </c>
      <c r="H58" s="8" t="str">
        <f>IFERROR(IF(B58="","",RTD("octo.rtdserver","",B58,VLOOKUP($H$9,Plan3!$B:$C,2,0))),"")</f>
        <v/>
      </c>
      <c r="I58" s="8" t="str">
        <f>IFERROR(IF(B58="","",RTD("octo.rtdserver","",B58,VLOOKUP($I$9,Plan3!$B:$C,2,0))),"")</f>
        <v/>
      </c>
      <c r="J58" s="8" t="str">
        <f>IFERROR(IF(B58="","",RTD("octo.rtdserver","",B58,VLOOKUP($J$9,Plan3!$B:$C,2,0))),"")</f>
        <v/>
      </c>
      <c r="K58" s="8" t="str">
        <f>IFERROR(IF(B58="","",RTD("octo.rtdserver","",B58,VLOOKUP($K$9,Plan3!$B:$C,2,0))),"")</f>
        <v/>
      </c>
    </row>
    <row r="59" spans="3:11" x14ac:dyDescent="0.25">
      <c r="C59" s="8" t="str">
        <f>IFERROR(IF(B59="","",RTD("octo.rtdserver","",B59,VLOOKUP($C$9,Plan3!$B:$C,2,0))),"")</f>
        <v/>
      </c>
      <c r="D59" s="8" t="str">
        <f>IFERROR(IF(B59="","",RTD("octo.rtdserver","",B59,VLOOKUP($D$9,Plan3!$B:$C,2,0))),"")</f>
        <v/>
      </c>
      <c r="E59" s="8" t="str">
        <f>IFERROR(IF(B59="","",RTD("octo.rtdserver","",B59,VLOOKUP($E$9,Plan3!$B:$C,2,0))),"")</f>
        <v/>
      </c>
      <c r="F59" s="8" t="str">
        <f>IFERROR(IF(B59="","",RTD("octo.rtdserver","",B59,VLOOKUP($F$9,Plan3!$B:$C,2,0))),"")</f>
        <v/>
      </c>
      <c r="G59" s="8" t="str">
        <f>IFERROR(IF(B59="","",RTD("octo.rtdserver","",B59,VLOOKUP($G$9,Plan3!$B:$C,2,0))),"")</f>
        <v/>
      </c>
      <c r="H59" s="8" t="str">
        <f>IFERROR(IF(B59="","",RTD("octo.rtdserver","",B59,VLOOKUP($H$9,Plan3!$B:$C,2,0))),"")</f>
        <v/>
      </c>
      <c r="I59" s="8" t="str">
        <f>IFERROR(IF(B59="","",RTD("octo.rtdserver","",B59,VLOOKUP($I$9,Plan3!$B:$C,2,0))),"")</f>
        <v/>
      </c>
      <c r="J59" s="8" t="str">
        <f>IFERROR(IF(B59="","",RTD("octo.rtdserver","",B59,VLOOKUP($J$9,Plan3!$B:$C,2,0))),"")</f>
        <v/>
      </c>
      <c r="K59" s="8" t="str">
        <f>IFERROR(IF(B59="","",RTD("octo.rtdserver","",B59,VLOOKUP($K$9,Plan3!$B:$C,2,0))),"")</f>
        <v/>
      </c>
    </row>
    <row r="60" spans="3:11" x14ac:dyDescent="0.25">
      <c r="C60" s="8" t="str">
        <f>IFERROR(IF(B60="","",RTD("octo.rtdserver","",B60,VLOOKUP($C$9,Plan3!$B:$C,2,0))),"")</f>
        <v/>
      </c>
      <c r="D60" s="8" t="str">
        <f>IFERROR(IF(B60="","",RTD("octo.rtdserver","",B60,VLOOKUP($D$9,Plan3!$B:$C,2,0))),"")</f>
        <v/>
      </c>
      <c r="E60" s="8" t="str">
        <f>IFERROR(IF(B60="","",RTD("octo.rtdserver","",B60,VLOOKUP($E$9,Plan3!$B:$C,2,0))),"")</f>
        <v/>
      </c>
      <c r="F60" s="8" t="str">
        <f>IFERROR(IF(B60="","",RTD("octo.rtdserver","",B60,VLOOKUP($F$9,Plan3!$B:$C,2,0))),"")</f>
        <v/>
      </c>
      <c r="G60" s="8" t="str">
        <f>IFERROR(IF(B60="","",RTD("octo.rtdserver","",B60,VLOOKUP($G$9,Plan3!$B:$C,2,0))),"")</f>
        <v/>
      </c>
      <c r="H60" s="8" t="str">
        <f>IFERROR(IF(B60="","",RTD("octo.rtdserver","",B60,VLOOKUP($H$9,Plan3!$B:$C,2,0))),"")</f>
        <v/>
      </c>
      <c r="I60" s="8" t="str">
        <f>IFERROR(IF(B60="","",RTD("octo.rtdserver","",B60,VLOOKUP($I$9,Plan3!$B:$C,2,0))),"")</f>
        <v/>
      </c>
      <c r="J60" s="8" t="str">
        <f>IFERROR(IF(B60="","",RTD("octo.rtdserver","",B60,VLOOKUP($J$9,Plan3!$B:$C,2,0))),"")</f>
        <v/>
      </c>
      <c r="K60" s="8" t="str">
        <f>IFERROR(IF(B60="","",RTD("octo.rtdserver","",B60,VLOOKUP($K$9,Plan3!$B:$C,2,0))),"")</f>
        <v/>
      </c>
    </row>
    <row r="61" spans="3:11" x14ac:dyDescent="0.25">
      <c r="C61" s="8" t="str">
        <f>IFERROR(IF(B61="","",RTD("octo.rtdserver","",B61,VLOOKUP($C$9,Plan3!$B:$C,2,0))),"")</f>
        <v/>
      </c>
      <c r="D61" s="8" t="str">
        <f>IFERROR(IF(B61="","",RTD("octo.rtdserver","",B61,VLOOKUP($D$9,Plan3!$B:$C,2,0))),"")</f>
        <v/>
      </c>
      <c r="E61" s="8" t="str">
        <f>IFERROR(IF(B61="","",RTD("octo.rtdserver","",B61,VLOOKUP($E$9,Plan3!$B:$C,2,0))),"")</f>
        <v/>
      </c>
      <c r="F61" s="8" t="str">
        <f>IFERROR(IF(B61="","",RTD("octo.rtdserver","",B61,VLOOKUP($F$9,Plan3!$B:$C,2,0))),"")</f>
        <v/>
      </c>
      <c r="G61" s="8" t="str">
        <f>IFERROR(IF(B61="","",RTD("octo.rtdserver","",B61,VLOOKUP($G$9,Plan3!$B:$C,2,0))),"")</f>
        <v/>
      </c>
      <c r="H61" s="8" t="str">
        <f>IFERROR(IF(B61="","",RTD("octo.rtdserver","",B61,VLOOKUP($H$9,Plan3!$B:$C,2,0))),"")</f>
        <v/>
      </c>
      <c r="I61" s="8" t="str">
        <f>IFERROR(IF(B61="","",RTD("octo.rtdserver","",B61,VLOOKUP($I$9,Plan3!$B:$C,2,0))),"")</f>
        <v/>
      </c>
      <c r="J61" s="8" t="str">
        <f>IFERROR(IF(B61="","",RTD("octo.rtdserver","",B61,VLOOKUP($J$9,Plan3!$B:$C,2,0))),"")</f>
        <v/>
      </c>
      <c r="K61" s="8" t="str">
        <f>IFERROR(IF(B61="","",RTD("octo.rtdserver","",B61,VLOOKUP($K$9,Plan3!$B:$C,2,0))),"")</f>
        <v/>
      </c>
    </row>
    <row r="62" spans="3:11" x14ac:dyDescent="0.25">
      <c r="C62" s="8" t="str">
        <f>IFERROR(IF(B62="","",RTD("octo.rtdserver","",B62,VLOOKUP($C$9,Plan3!$B:$C,2,0))),"")</f>
        <v/>
      </c>
      <c r="D62" s="8" t="str">
        <f>IFERROR(IF(B62="","",RTD("octo.rtdserver","",B62,VLOOKUP($D$9,Plan3!$B:$C,2,0))),"")</f>
        <v/>
      </c>
      <c r="E62" s="8" t="str">
        <f>IFERROR(IF(B62="","",RTD("octo.rtdserver","",B62,VLOOKUP($E$9,Plan3!$B:$C,2,0))),"")</f>
        <v/>
      </c>
      <c r="F62" s="8" t="str">
        <f>IFERROR(IF(B62="","",RTD("octo.rtdserver","",B62,VLOOKUP($F$9,Plan3!$B:$C,2,0))),"")</f>
        <v/>
      </c>
      <c r="G62" s="8" t="str">
        <f>IFERROR(IF(B62="","",RTD("octo.rtdserver","",B62,VLOOKUP($G$9,Plan3!$B:$C,2,0))),"")</f>
        <v/>
      </c>
      <c r="H62" s="8" t="str">
        <f>IFERROR(IF(B62="","",RTD("octo.rtdserver","",B62,VLOOKUP($H$9,Plan3!$B:$C,2,0))),"")</f>
        <v/>
      </c>
      <c r="I62" s="8" t="str">
        <f>IFERROR(IF(B62="","",RTD("octo.rtdserver","",B62,VLOOKUP($I$9,Plan3!$B:$C,2,0))),"")</f>
        <v/>
      </c>
      <c r="J62" s="8" t="str">
        <f>IFERROR(IF(B62="","",RTD("octo.rtdserver","",B62,VLOOKUP($J$9,Plan3!$B:$C,2,0))),"")</f>
        <v/>
      </c>
      <c r="K62" s="8" t="str">
        <f>IFERROR(IF(B62="","",RTD("octo.rtdserver","",B62,VLOOKUP($K$9,Plan3!$B:$C,2,0))),"")</f>
        <v/>
      </c>
    </row>
    <row r="63" spans="3:11" x14ac:dyDescent="0.25">
      <c r="C63" s="8" t="str">
        <f>IFERROR(IF(B63="","",RTD("octo.rtdserver","",B63,VLOOKUP($C$9,Plan3!$B:$C,2,0))),"")</f>
        <v/>
      </c>
      <c r="D63" s="8" t="str">
        <f>IFERROR(IF(B63="","",RTD("octo.rtdserver","",B63,VLOOKUP($D$9,Plan3!$B:$C,2,0))),"")</f>
        <v/>
      </c>
      <c r="E63" s="8" t="str">
        <f>IFERROR(IF(B63="","",RTD("octo.rtdserver","",B63,VLOOKUP($E$9,Plan3!$B:$C,2,0))),"")</f>
        <v/>
      </c>
      <c r="F63" s="8" t="str">
        <f>IFERROR(IF(B63="","",RTD("octo.rtdserver","",B63,VLOOKUP($F$9,Plan3!$B:$C,2,0))),"")</f>
        <v/>
      </c>
      <c r="G63" s="8" t="str">
        <f>IFERROR(IF(B63="","",RTD("octo.rtdserver","",B63,VLOOKUP($G$9,Plan3!$B:$C,2,0))),"")</f>
        <v/>
      </c>
      <c r="H63" s="8" t="str">
        <f>IFERROR(IF(B63="","",RTD("octo.rtdserver","",B63,VLOOKUP($H$9,Plan3!$B:$C,2,0))),"")</f>
        <v/>
      </c>
      <c r="I63" s="8" t="str">
        <f>IFERROR(IF(B63="","",RTD("octo.rtdserver","",B63,VLOOKUP($I$9,Plan3!$B:$C,2,0))),"")</f>
        <v/>
      </c>
      <c r="J63" s="8" t="str">
        <f>IFERROR(IF(B63="","",RTD("octo.rtdserver","",B63,VLOOKUP($J$9,Plan3!$B:$C,2,0))),"")</f>
        <v/>
      </c>
      <c r="K63" s="8" t="str">
        <f>IFERROR(IF(B63="","",RTD("octo.rtdserver","",B63,VLOOKUP($K$9,Plan3!$B:$C,2,0))),"")</f>
        <v/>
      </c>
    </row>
    <row r="64" spans="3:11" x14ac:dyDescent="0.25">
      <c r="C64" s="8" t="str">
        <f>IFERROR(IF(B64="","",RTD("octo.rtdserver","",B64,VLOOKUP($C$9,Plan3!$B:$C,2,0))),"")</f>
        <v/>
      </c>
      <c r="D64" s="8" t="str">
        <f>IFERROR(IF(B64="","",RTD("octo.rtdserver","",B64,VLOOKUP($D$9,Plan3!$B:$C,2,0))),"")</f>
        <v/>
      </c>
      <c r="E64" s="8" t="str">
        <f>IFERROR(IF(B64="","",RTD("octo.rtdserver","",B64,VLOOKUP($E$9,Plan3!$B:$C,2,0))),"")</f>
        <v/>
      </c>
      <c r="F64" s="8" t="str">
        <f>IFERROR(IF(B64="","",RTD("octo.rtdserver","",B64,VLOOKUP($F$9,Plan3!$B:$C,2,0))),"")</f>
        <v/>
      </c>
      <c r="G64" s="8" t="str">
        <f>IFERROR(IF(B64="","",RTD("octo.rtdserver","",B64,VLOOKUP($G$9,Plan3!$B:$C,2,0))),"")</f>
        <v/>
      </c>
      <c r="H64" s="8" t="str">
        <f>IFERROR(IF(B64="","",RTD("octo.rtdserver","",B64,VLOOKUP($H$9,Plan3!$B:$C,2,0))),"")</f>
        <v/>
      </c>
      <c r="I64" s="8" t="str">
        <f>IFERROR(IF(B64="","",RTD("octo.rtdserver","",B64,VLOOKUP($I$9,Plan3!$B:$C,2,0))),"")</f>
        <v/>
      </c>
      <c r="J64" s="8" t="str">
        <f>IFERROR(IF(B64="","",RTD("octo.rtdserver","",B64,VLOOKUP($J$9,Plan3!$B:$C,2,0))),"")</f>
        <v/>
      </c>
      <c r="K64" s="8" t="str">
        <f>IFERROR(IF(B64="","",RTD("octo.rtdserver","",B64,VLOOKUP($K$9,Plan3!$B:$C,2,0))),"")</f>
        <v/>
      </c>
    </row>
    <row r="65" spans="3:11" x14ac:dyDescent="0.25">
      <c r="C65" s="8" t="str">
        <f>IFERROR(IF(B65="","",RTD("octo.rtdserver","",B65,VLOOKUP($C$9,Plan3!$B:$C,2,0))),"")</f>
        <v/>
      </c>
      <c r="D65" s="8" t="str">
        <f>IFERROR(IF(B65="","",RTD("octo.rtdserver","",B65,VLOOKUP($D$9,Plan3!$B:$C,2,0))),"")</f>
        <v/>
      </c>
      <c r="E65" s="8" t="str">
        <f>IFERROR(IF(B65="","",RTD("octo.rtdserver","",B65,VLOOKUP($E$9,Plan3!$B:$C,2,0))),"")</f>
        <v/>
      </c>
      <c r="F65" s="8" t="str">
        <f>IFERROR(IF(B65="","",RTD("octo.rtdserver","",B65,VLOOKUP($F$9,Plan3!$B:$C,2,0))),"")</f>
        <v/>
      </c>
      <c r="G65" s="8" t="str">
        <f>IFERROR(IF(B65="","",RTD("octo.rtdserver","",B65,VLOOKUP($G$9,Plan3!$B:$C,2,0))),"")</f>
        <v/>
      </c>
      <c r="H65" s="8" t="str">
        <f>IFERROR(IF(B65="","",RTD("octo.rtdserver","",B65,VLOOKUP($H$9,Plan3!$B:$C,2,0))),"")</f>
        <v/>
      </c>
      <c r="I65" s="8" t="str">
        <f>IFERROR(IF(B65="","",RTD("octo.rtdserver","",B65,VLOOKUP($I$9,Plan3!$B:$C,2,0))),"")</f>
        <v/>
      </c>
      <c r="J65" s="8" t="str">
        <f>IFERROR(IF(B65="","",RTD("octo.rtdserver","",B65,VLOOKUP($J$9,Plan3!$B:$C,2,0))),"")</f>
        <v/>
      </c>
      <c r="K65" s="8" t="str">
        <f>IFERROR(IF(B65="","",RTD("octo.rtdserver","",B65,VLOOKUP($K$9,Plan3!$B:$C,2,0))),"")</f>
        <v/>
      </c>
    </row>
    <row r="66" spans="3:11" x14ac:dyDescent="0.25">
      <c r="C66" s="8" t="str">
        <f>IFERROR(IF(B66="","",RTD("octo.rtdserver","",B66,VLOOKUP($C$9,Plan3!$B:$C,2,0))),"")</f>
        <v/>
      </c>
      <c r="D66" s="8" t="str">
        <f>IFERROR(IF(B66="","",RTD("octo.rtdserver","",B66,VLOOKUP($D$9,Plan3!$B:$C,2,0))),"")</f>
        <v/>
      </c>
      <c r="E66" s="8" t="str">
        <f>IFERROR(IF(B66="","",RTD("octo.rtdserver","",B66,VLOOKUP($E$9,Plan3!$B:$C,2,0))),"")</f>
        <v/>
      </c>
      <c r="F66" s="8" t="str">
        <f>IFERROR(IF(B66="","",RTD("octo.rtdserver","",B66,VLOOKUP($F$9,Plan3!$B:$C,2,0))),"")</f>
        <v/>
      </c>
      <c r="G66" s="8" t="str">
        <f>IFERROR(IF(B66="","",RTD("octo.rtdserver","",B66,VLOOKUP($G$9,Plan3!$B:$C,2,0))),"")</f>
        <v/>
      </c>
      <c r="H66" s="8" t="str">
        <f>IFERROR(IF(B66="","",RTD("octo.rtdserver","",B66,VLOOKUP($H$9,Plan3!$B:$C,2,0))),"")</f>
        <v/>
      </c>
      <c r="I66" s="8" t="str">
        <f>IFERROR(IF(B66="","",RTD("octo.rtdserver","",B66,VLOOKUP($I$9,Plan3!$B:$C,2,0))),"")</f>
        <v/>
      </c>
      <c r="J66" s="8" t="str">
        <f>IFERROR(IF(B66="","",RTD("octo.rtdserver","",B66,VLOOKUP($J$9,Plan3!$B:$C,2,0))),"")</f>
        <v/>
      </c>
      <c r="K66" s="8" t="str">
        <f>IFERROR(IF(B66="","",RTD("octo.rtdserver","",B66,VLOOKUP($K$9,Plan3!$B:$C,2,0))),"")</f>
        <v/>
      </c>
    </row>
    <row r="67" spans="3:11" x14ac:dyDescent="0.25">
      <c r="C67" s="8" t="str">
        <f>IFERROR(IF(B67="","",RTD("octo.rtdserver","",B67,VLOOKUP($C$9,Plan3!$B:$C,2,0))),"")</f>
        <v/>
      </c>
      <c r="D67" s="8" t="str">
        <f>IFERROR(IF(B67="","",RTD("octo.rtdserver","",B67,VLOOKUP($D$9,Plan3!$B:$C,2,0))),"")</f>
        <v/>
      </c>
      <c r="E67" s="8" t="str">
        <f>IFERROR(IF(B67="","",RTD("octo.rtdserver","",B67,VLOOKUP($E$9,Plan3!$B:$C,2,0))),"")</f>
        <v/>
      </c>
      <c r="F67" s="8" t="str">
        <f>IFERROR(IF(B67="","",RTD("octo.rtdserver","",B67,VLOOKUP($F$9,Plan3!$B:$C,2,0))),"")</f>
        <v/>
      </c>
      <c r="G67" s="8" t="str">
        <f>IFERROR(IF(B67="","",RTD("octo.rtdserver","",B67,VLOOKUP($G$9,Plan3!$B:$C,2,0))),"")</f>
        <v/>
      </c>
      <c r="H67" s="8" t="str">
        <f>IFERROR(IF(B67="","",RTD("octo.rtdserver","",B67,VLOOKUP($H$9,Plan3!$B:$C,2,0))),"")</f>
        <v/>
      </c>
      <c r="I67" s="8" t="str">
        <f>IFERROR(IF(B67="","",RTD("octo.rtdserver","",B67,VLOOKUP($I$9,Plan3!$B:$C,2,0))),"")</f>
        <v/>
      </c>
      <c r="J67" s="8" t="str">
        <f>IFERROR(IF(B67="","",RTD("octo.rtdserver","",B67,VLOOKUP($J$9,Plan3!$B:$C,2,0))),"")</f>
        <v/>
      </c>
      <c r="K67" s="8" t="str">
        <f>IFERROR(IF(B67="","",RTD("octo.rtdserver","",B67,VLOOKUP($K$9,Plan3!$B:$C,2,0))),"")</f>
        <v/>
      </c>
    </row>
    <row r="68" spans="3:11" x14ac:dyDescent="0.25">
      <c r="C68" s="8" t="str">
        <f>IFERROR(IF(B68="","",RTD("octo.rtdserver","",B68,VLOOKUP($C$9,Plan3!$B:$C,2,0))),"")</f>
        <v/>
      </c>
      <c r="D68" s="8" t="str">
        <f>IFERROR(IF(B68="","",RTD("octo.rtdserver","",B68,VLOOKUP($D$9,Plan3!$B:$C,2,0))),"")</f>
        <v/>
      </c>
      <c r="E68" s="8" t="str">
        <f>IFERROR(IF(B68="","",RTD("octo.rtdserver","",B68,VLOOKUP($E$9,Plan3!$B:$C,2,0))),"")</f>
        <v/>
      </c>
      <c r="F68" s="8" t="str">
        <f>IFERROR(IF(B68="","",RTD("octo.rtdserver","",B68,VLOOKUP($F$9,Plan3!$B:$C,2,0))),"")</f>
        <v/>
      </c>
      <c r="G68" s="8" t="str">
        <f>IFERROR(IF(B68="","",RTD("octo.rtdserver","",B68,VLOOKUP($G$9,Plan3!$B:$C,2,0))),"")</f>
        <v/>
      </c>
      <c r="H68" s="8" t="str">
        <f>IFERROR(IF(B68="","",RTD("octo.rtdserver","",B68,VLOOKUP($H$9,Plan3!$B:$C,2,0))),"")</f>
        <v/>
      </c>
      <c r="I68" s="8" t="str">
        <f>IFERROR(IF(B68="","",RTD("octo.rtdserver","",B68,VLOOKUP($I$9,Plan3!$B:$C,2,0))),"")</f>
        <v/>
      </c>
      <c r="J68" s="8" t="str">
        <f>IFERROR(IF(B68="","",RTD("octo.rtdserver","",B68,VLOOKUP($J$9,Plan3!$B:$C,2,0))),"")</f>
        <v/>
      </c>
      <c r="K68" s="8" t="str">
        <f>IFERROR(IF(B68="","",RTD("octo.rtdserver","",B68,VLOOKUP($K$9,Plan3!$B:$C,2,0))),"")</f>
        <v/>
      </c>
    </row>
    <row r="69" spans="3:11" x14ac:dyDescent="0.25">
      <c r="C69" s="8" t="str">
        <f>IFERROR(IF(B69="","",RTD("octo.rtdserver","",B69,VLOOKUP($C$9,Plan3!$B:$C,2,0))),"")</f>
        <v/>
      </c>
      <c r="D69" s="8" t="str">
        <f>IFERROR(IF(B69="","",RTD("octo.rtdserver","",B69,VLOOKUP($D$9,Plan3!$B:$C,2,0))),"")</f>
        <v/>
      </c>
      <c r="E69" s="8" t="str">
        <f>IFERROR(IF(B69="","",RTD("octo.rtdserver","",B69,VLOOKUP($E$9,Plan3!$B:$C,2,0))),"")</f>
        <v/>
      </c>
      <c r="F69" s="8" t="str">
        <f>IFERROR(IF(B69="","",RTD("octo.rtdserver","",B69,VLOOKUP($F$9,Plan3!$B:$C,2,0))),"")</f>
        <v/>
      </c>
      <c r="G69" s="8" t="str">
        <f>IFERROR(IF(B69="","",RTD("octo.rtdserver","",B69,VLOOKUP($G$9,Plan3!$B:$C,2,0))),"")</f>
        <v/>
      </c>
      <c r="H69" s="8" t="str">
        <f>IFERROR(IF(B69="","",RTD("octo.rtdserver","",B69,VLOOKUP($H$9,Plan3!$B:$C,2,0))),"")</f>
        <v/>
      </c>
      <c r="I69" s="8" t="str">
        <f>IFERROR(IF(B69="","",RTD("octo.rtdserver","",B69,VLOOKUP($I$9,Plan3!$B:$C,2,0))),"")</f>
        <v/>
      </c>
      <c r="J69" s="8" t="str">
        <f>IFERROR(IF(B69="","",RTD("octo.rtdserver","",B69,VLOOKUP($J$9,Plan3!$B:$C,2,0))),"")</f>
        <v/>
      </c>
      <c r="K69" s="8" t="str">
        <f>IFERROR(IF(B69="","",RTD("octo.rtdserver","",B69,VLOOKUP($K$9,Plan3!$B:$C,2,0))),"")</f>
        <v/>
      </c>
    </row>
    <row r="70" spans="3:11" x14ac:dyDescent="0.25">
      <c r="C70" s="8" t="str">
        <f>IFERROR(IF(B70="","",RTD("octo.rtdserver","",B70,VLOOKUP($C$9,Plan3!$B:$C,2,0))),"")</f>
        <v/>
      </c>
      <c r="D70" s="8" t="str">
        <f>IFERROR(IF(B70="","",RTD("octo.rtdserver","",B70,VLOOKUP($D$9,Plan3!$B:$C,2,0))),"")</f>
        <v/>
      </c>
      <c r="E70" s="8" t="str">
        <f>IFERROR(IF(B70="","",RTD("octo.rtdserver","",B70,VLOOKUP($E$9,Plan3!$B:$C,2,0))),"")</f>
        <v/>
      </c>
      <c r="F70" s="8" t="str">
        <f>IFERROR(IF(B70="","",RTD("octo.rtdserver","",B70,VLOOKUP($F$9,Plan3!$B:$C,2,0))),"")</f>
        <v/>
      </c>
      <c r="G70" s="8" t="str">
        <f>IFERROR(IF(B70="","",RTD("octo.rtdserver","",B70,VLOOKUP($G$9,Plan3!$B:$C,2,0))),"")</f>
        <v/>
      </c>
      <c r="H70" s="8" t="str">
        <f>IFERROR(IF(B70="","",RTD("octo.rtdserver","",B70,VLOOKUP($H$9,Plan3!$B:$C,2,0))),"")</f>
        <v/>
      </c>
      <c r="I70" s="8" t="str">
        <f>IFERROR(IF(B70="","",RTD("octo.rtdserver","",B70,VLOOKUP($I$9,Plan3!$B:$C,2,0))),"")</f>
        <v/>
      </c>
      <c r="J70" s="8" t="str">
        <f>IFERROR(IF(B70="","",RTD("octo.rtdserver","",B70,VLOOKUP($J$9,Plan3!$B:$C,2,0))),"")</f>
        <v/>
      </c>
      <c r="K70" s="8" t="str">
        <f>IFERROR(IF(B70="","",RTD("octo.rtdserver","",B70,VLOOKUP($K$9,Plan3!$B:$C,2,0))),"")</f>
        <v/>
      </c>
    </row>
    <row r="71" spans="3:11" x14ac:dyDescent="0.25">
      <c r="C71" s="8" t="str">
        <f>IFERROR(IF(B71="","",RTD("octo.rtdserver","",B71,VLOOKUP($C$9,Plan3!$B:$C,2,0))),"")</f>
        <v/>
      </c>
      <c r="D71" s="8" t="str">
        <f>IFERROR(IF(B71="","",RTD("octo.rtdserver","",B71,VLOOKUP($D$9,Plan3!$B:$C,2,0))),"")</f>
        <v/>
      </c>
      <c r="E71" s="8" t="str">
        <f>IFERROR(IF(B71="","",RTD("octo.rtdserver","",B71,VLOOKUP($E$9,Plan3!$B:$C,2,0))),"")</f>
        <v/>
      </c>
      <c r="F71" s="8" t="str">
        <f>IFERROR(IF(B71="","",RTD("octo.rtdserver","",B71,VLOOKUP($F$9,Plan3!$B:$C,2,0))),"")</f>
        <v/>
      </c>
      <c r="G71" s="8" t="str">
        <f>IFERROR(IF(B71="","",RTD("octo.rtdserver","",B71,VLOOKUP($G$9,Plan3!$B:$C,2,0))),"")</f>
        <v/>
      </c>
      <c r="H71" s="8" t="str">
        <f>IFERROR(IF(B71="","",RTD("octo.rtdserver","",B71,VLOOKUP($H$9,Plan3!$B:$C,2,0))),"")</f>
        <v/>
      </c>
      <c r="I71" s="8" t="str">
        <f>IFERROR(IF(B71="","",RTD("octo.rtdserver","",B71,VLOOKUP($I$9,Plan3!$B:$C,2,0))),"")</f>
        <v/>
      </c>
      <c r="J71" s="8" t="str">
        <f>IFERROR(IF(B71="","",RTD("octo.rtdserver","",B71,VLOOKUP($J$9,Plan3!$B:$C,2,0))),"")</f>
        <v/>
      </c>
      <c r="K71" s="8" t="str">
        <f>IFERROR(IF(B71="","",RTD("octo.rtdserver","",B71,VLOOKUP($K$9,Plan3!$B:$C,2,0))),"")</f>
        <v/>
      </c>
    </row>
    <row r="72" spans="3:11" x14ac:dyDescent="0.25">
      <c r="C72" s="8" t="str">
        <f>IFERROR(IF(B72="","",RTD("octo.rtdserver","",B72,VLOOKUP($C$9,Plan3!$B:$C,2,0))),"")</f>
        <v/>
      </c>
      <c r="D72" s="8" t="str">
        <f>IFERROR(IF(B72="","",RTD("octo.rtdserver","",B72,VLOOKUP($D$9,Plan3!$B:$C,2,0))),"")</f>
        <v/>
      </c>
      <c r="E72" s="8" t="str">
        <f>IFERROR(IF(B72="","",RTD("octo.rtdserver","",B72,VLOOKUP($E$9,Plan3!$B:$C,2,0))),"")</f>
        <v/>
      </c>
      <c r="F72" s="8" t="str">
        <f>IFERROR(IF(B72="","",RTD("octo.rtdserver","",B72,VLOOKUP($F$9,Plan3!$B:$C,2,0))),"")</f>
        <v/>
      </c>
      <c r="G72" s="8" t="str">
        <f>IFERROR(IF(B72="","",RTD("octo.rtdserver","",B72,VLOOKUP($G$9,Plan3!$B:$C,2,0))),"")</f>
        <v/>
      </c>
      <c r="H72" s="8" t="str">
        <f>IFERROR(IF(B72="","",RTD("octo.rtdserver","",B72,VLOOKUP($H$9,Plan3!$B:$C,2,0))),"")</f>
        <v/>
      </c>
      <c r="I72" s="8" t="str">
        <f>IFERROR(IF(B72="","",RTD("octo.rtdserver","",B72,VLOOKUP($I$9,Plan3!$B:$C,2,0))),"")</f>
        <v/>
      </c>
      <c r="J72" s="8" t="str">
        <f>IFERROR(IF(B72="","",RTD("octo.rtdserver","",B72,VLOOKUP($J$9,Plan3!$B:$C,2,0))),"")</f>
        <v/>
      </c>
      <c r="K72" s="8" t="str">
        <f>IFERROR(IF(B72="","",RTD("octo.rtdserver","",B72,VLOOKUP($K$9,Plan3!$B:$C,2,0))),"")</f>
        <v/>
      </c>
    </row>
    <row r="73" spans="3:11" x14ac:dyDescent="0.25">
      <c r="C73" s="8" t="str">
        <f>IFERROR(IF(B73="","",RTD("octo.rtdserver","",B73,VLOOKUP($C$9,Plan3!$B:$C,2,0))),"")</f>
        <v/>
      </c>
      <c r="D73" s="8" t="str">
        <f>IFERROR(IF(B73="","",RTD("octo.rtdserver","",B73,VLOOKUP($D$9,Plan3!$B:$C,2,0))),"")</f>
        <v/>
      </c>
      <c r="E73" s="8" t="str">
        <f>IFERROR(IF(B73="","",RTD("octo.rtdserver","",B73,VLOOKUP($E$9,Plan3!$B:$C,2,0))),"")</f>
        <v/>
      </c>
      <c r="F73" s="8" t="str">
        <f>IFERROR(IF(B73="","",RTD("octo.rtdserver","",B73,VLOOKUP($F$9,Plan3!$B:$C,2,0))),"")</f>
        <v/>
      </c>
      <c r="G73" s="8" t="str">
        <f>IFERROR(IF(B73="","",RTD("octo.rtdserver","",B73,VLOOKUP($G$9,Plan3!$B:$C,2,0))),"")</f>
        <v/>
      </c>
      <c r="H73" s="8" t="str">
        <f>IFERROR(IF(B73="","",RTD("octo.rtdserver","",B73,VLOOKUP($H$9,Plan3!$B:$C,2,0))),"")</f>
        <v/>
      </c>
      <c r="I73" s="8" t="str">
        <f>IFERROR(IF(B73="","",RTD("octo.rtdserver","",B73,VLOOKUP($I$9,Plan3!$B:$C,2,0))),"")</f>
        <v/>
      </c>
      <c r="J73" s="8" t="str">
        <f>IFERROR(IF(B73="","",RTD("octo.rtdserver","",B73,VLOOKUP($J$9,Plan3!$B:$C,2,0))),"")</f>
        <v/>
      </c>
      <c r="K73" s="8" t="str">
        <f>IFERROR(IF(B73="","",RTD("octo.rtdserver","",B73,VLOOKUP($K$9,Plan3!$B:$C,2,0))),"")</f>
        <v/>
      </c>
    </row>
    <row r="74" spans="3:11" x14ac:dyDescent="0.25">
      <c r="C74" s="8" t="str">
        <f>IFERROR(IF(B74="","",RTD("octo.rtdserver","",B74,VLOOKUP($C$9,Plan3!$B:$C,2,0))),"")</f>
        <v/>
      </c>
      <c r="D74" s="8" t="str">
        <f>IFERROR(IF(B74="","",RTD("octo.rtdserver","",B74,VLOOKUP($D$9,Plan3!$B:$C,2,0))),"")</f>
        <v/>
      </c>
      <c r="E74" s="8" t="str">
        <f>IFERROR(IF(B74="","",RTD("octo.rtdserver","",B74,VLOOKUP($E$9,Plan3!$B:$C,2,0))),"")</f>
        <v/>
      </c>
      <c r="F74" s="8" t="str">
        <f>IFERROR(IF(B74="","",RTD("octo.rtdserver","",B74,VLOOKUP($F$9,Plan3!$B:$C,2,0))),"")</f>
        <v/>
      </c>
      <c r="G74" s="8" t="str">
        <f>IFERROR(IF(B74="","",RTD("octo.rtdserver","",B74,VLOOKUP($G$9,Plan3!$B:$C,2,0))),"")</f>
        <v/>
      </c>
      <c r="H74" s="8" t="str">
        <f>IFERROR(IF(B74="","",RTD("octo.rtdserver","",B74,VLOOKUP($H$9,Plan3!$B:$C,2,0))),"")</f>
        <v/>
      </c>
      <c r="I74" s="8" t="str">
        <f>IFERROR(IF(B74="","",RTD("octo.rtdserver","",B74,VLOOKUP($I$9,Plan3!$B:$C,2,0))),"")</f>
        <v/>
      </c>
      <c r="J74" s="8" t="str">
        <f>IFERROR(IF(B74="","",RTD("octo.rtdserver","",B74,VLOOKUP($J$9,Plan3!$B:$C,2,0))),"")</f>
        <v/>
      </c>
      <c r="K74" s="8" t="str">
        <f>IFERROR(IF(B74="","",RTD("octo.rtdserver","",B74,VLOOKUP($K$9,Plan3!$B:$C,2,0))),"")</f>
        <v/>
      </c>
    </row>
    <row r="75" spans="3:11" x14ac:dyDescent="0.25">
      <c r="C75" s="8" t="str">
        <f>IFERROR(IF(B75="","",RTD("octo.rtdserver","",B75,VLOOKUP($C$9,Plan3!$B:$C,2,0))),"")</f>
        <v/>
      </c>
      <c r="D75" s="8" t="str">
        <f>IFERROR(IF(B75="","",RTD("octo.rtdserver","",B75,VLOOKUP($D$9,Plan3!$B:$C,2,0))),"")</f>
        <v/>
      </c>
      <c r="E75" s="8" t="str">
        <f>IFERROR(IF(B75="","",RTD("octo.rtdserver","",B75,VLOOKUP($E$9,Plan3!$B:$C,2,0))),"")</f>
        <v/>
      </c>
      <c r="F75" s="8" t="str">
        <f>IFERROR(IF(B75="","",RTD("octo.rtdserver","",B75,VLOOKUP($F$9,Plan3!$B:$C,2,0))),"")</f>
        <v/>
      </c>
      <c r="G75" s="8" t="str">
        <f>IFERROR(IF(B75="","",RTD("octo.rtdserver","",B75,VLOOKUP($G$9,Plan3!$B:$C,2,0))),"")</f>
        <v/>
      </c>
      <c r="H75" s="8" t="str">
        <f>IFERROR(IF(B75="","",RTD("octo.rtdserver","",B75,VLOOKUP($H$9,Plan3!$B:$C,2,0))),"")</f>
        <v/>
      </c>
      <c r="I75" s="8" t="str">
        <f>IFERROR(IF(B75="","",RTD("octo.rtdserver","",B75,VLOOKUP($I$9,Plan3!$B:$C,2,0))),"")</f>
        <v/>
      </c>
      <c r="J75" s="8" t="str">
        <f>IFERROR(IF(B75="","",RTD("octo.rtdserver","",B75,VLOOKUP($J$9,Plan3!$B:$C,2,0))),"")</f>
        <v/>
      </c>
      <c r="K75" s="8" t="str">
        <f>IFERROR(IF(B75="","",RTD("octo.rtdserver","",B75,VLOOKUP($K$9,Plan3!$B:$C,2,0))),"")</f>
        <v/>
      </c>
    </row>
    <row r="76" spans="3:11" x14ac:dyDescent="0.25">
      <c r="C76" s="8" t="str">
        <f>IFERROR(IF(B76="","",RTD("octo.rtdserver","",B76,VLOOKUP($C$9,Plan3!$B:$C,2,0))),"")</f>
        <v/>
      </c>
      <c r="D76" s="8" t="str">
        <f>IFERROR(IF(B76="","",RTD("octo.rtdserver","",B76,VLOOKUP($D$9,Plan3!$B:$C,2,0))),"")</f>
        <v/>
      </c>
      <c r="E76" s="8" t="str">
        <f>IFERROR(IF(B76="","",RTD("octo.rtdserver","",B76,VLOOKUP($E$9,Plan3!$B:$C,2,0))),"")</f>
        <v/>
      </c>
      <c r="F76" s="8" t="str">
        <f>IFERROR(IF(B76="","",RTD("octo.rtdserver","",B76,VLOOKUP($F$9,Plan3!$B:$C,2,0))),"")</f>
        <v/>
      </c>
      <c r="G76" s="8" t="str">
        <f>IFERROR(IF(B76="","",RTD("octo.rtdserver","",B76,VLOOKUP($G$9,Plan3!$B:$C,2,0))),"")</f>
        <v/>
      </c>
      <c r="H76" s="8" t="str">
        <f>IFERROR(IF(B76="","",RTD("octo.rtdserver","",B76,VLOOKUP($H$9,Plan3!$B:$C,2,0))),"")</f>
        <v/>
      </c>
      <c r="I76" s="8" t="str">
        <f>IFERROR(IF(B76="","",RTD("octo.rtdserver","",B76,VLOOKUP($I$9,Plan3!$B:$C,2,0))),"")</f>
        <v/>
      </c>
      <c r="J76" s="8" t="str">
        <f>IFERROR(IF(B76="","",RTD("octo.rtdserver","",B76,VLOOKUP($J$9,Plan3!$B:$C,2,0))),"")</f>
        <v/>
      </c>
      <c r="K76" s="8" t="str">
        <f>IFERROR(IF(B76="","",RTD("octo.rtdserver","",B76,VLOOKUP($K$9,Plan3!$B:$C,2,0))),"")</f>
        <v/>
      </c>
    </row>
    <row r="77" spans="3:11" x14ac:dyDescent="0.25">
      <c r="C77" s="8" t="str">
        <f>IFERROR(IF(B77="","",RTD("octo.rtdserver","",B77,VLOOKUP($C$9,Plan3!$B:$C,2,0))),"")</f>
        <v/>
      </c>
      <c r="D77" s="8" t="str">
        <f>IFERROR(IF(B77="","",RTD("octo.rtdserver","",B77,VLOOKUP($D$9,Plan3!$B:$C,2,0))),"")</f>
        <v/>
      </c>
      <c r="E77" s="8" t="str">
        <f>IFERROR(IF(B77="","",RTD("octo.rtdserver","",B77,VLOOKUP($E$9,Plan3!$B:$C,2,0))),"")</f>
        <v/>
      </c>
      <c r="F77" s="8" t="str">
        <f>IFERROR(IF(B77="","",RTD("octo.rtdserver","",B77,VLOOKUP($F$9,Plan3!$B:$C,2,0))),"")</f>
        <v/>
      </c>
      <c r="G77" s="8" t="str">
        <f>IFERROR(IF(B77="","",RTD("octo.rtdserver","",B77,VLOOKUP($G$9,Plan3!$B:$C,2,0))),"")</f>
        <v/>
      </c>
      <c r="H77" s="8" t="str">
        <f>IFERROR(IF(B77="","",RTD("octo.rtdserver","",B77,VLOOKUP($H$9,Plan3!$B:$C,2,0))),"")</f>
        <v/>
      </c>
      <c r="I77" s="8" t="str">
        <f>IFERROR(IF(B77="","",RTD("octo.rtdserver","",B77,VLOOKUP($I$9,Plan3!$B:$C,2,0))),"")</f>
        <v/>
      </c>
      <c r="J77" s="8" t="str">
        <f>IFERROR(IF(B77="","",RTD("octo.rtdserver","",B77,VLOOKUP($J$9,Plan3!$B:$C,2,0))),"")</f>
        <v/>
      </c>
      <c r="K77" s="8" t="str">
        <f>IFERROR(IF(B77="","",RTD("octo.rtdserver","",B77,VLOOKUP($K$9,Plan3!$B:$C,2,0))),"")</f>
        <v/>
      </c>
    </row>
    <row r="78" spans="3:11" x14ac:dyDescent="0.25">
      <c r="C78" s="8" t="str">
        <f>IFERROR(IF(B78="","",RTD("octo.rtdserver","",B78,VLOOKUP($C$9,Plan3!$B:$C,2,0))),"")</f>
        <v/>
      </c>
      <c r="D78" s="8" t="str">
        <f>IFERROR(IF(B78="","",RTD("octo.rtdserver","",B78,VLOOKUP($D$9,Plan3!$B:$C,2,0))),"")</f>
        <v/>
      </c>
      <c r="E78" s="8" t="str">
        <f>IFERROR(IF(B78="","",RTD("octo.rtdserver","",B78,VLOOKUP($E$9,Plan3!$B:$C,2,0))),"")</f>
        <v/>
      </c>
      <c r="F78" s="8" t="str">
        <f>IFERROR(IF(B78="","",RTD("octo.rtdserver","",B78,VLOOKUP($F$9,Plan3!$B:$C,2,0))),"")</f>
        <v/>
      </c>
      <c r="G78" s="8" t="str">
        <f>IFERROR(IF(B78="","",RTD("octo.rtdserver","",B78,VLOOKUP($G$9,Plan3!$B:$C,2,0))),"")</f>
        <v/>
      </c>
      <c r="H78" s="8" t="str">
        <f>IFERROR(IF(B78="","",RTD("octo.rtdserver","",B78,VLOOKUP($H$9,Plan3!$B:$C,2,0))),"")</f>
        <v/>
      </c>
      <c r="I78" s="8" t="str">
        <f>IFERROR(IF(B78="","",RTD("octo.rtdserver","",B78,VLOOKUP($I$9,Plan3!$B:$C,2,0))),"")</f>
        <v/>
      </c>
      <c r="J78" s="8" t="str">
        <f>IFERROR(IF(B78="","",RTD("octo.rtdserver","",B78,VLOOKUP($J$9,Plan3!$B:$C,2,0))),"")</f>
        <v/>
      </c>
      <c r="K78" s="8" t="str">
        <f>IFERROR(IF(B78="","",RTD("octo.rtdserver","",B78,VLOOKUP($K$9,Plan3!$B:$C,2,0))),"")</f>
        <v/>
      </c>
    </row>
    <row r="79" spans="3:11" x14ac:dyDescent="0.25">
      <c r="C79" s="8" t="str">
        <f>IFERROR(IF(B79="","",RTD("octo.rtdserver","",B79,VLOOKUP($C$9,Plan3!$B:$C,2,0))),"")</f>
        <v/>
      </c>
      <c r="D79" s="8" t="str">
        <f>IFERROR(IF(B79="","",RTD("octo.rtdserver","",B79,VLOOKUP($D$9,Plan3!$B:$C,2,0))),"")</f>
        <v/>
      </c>
      <c r="E79" s="8" t="str">
        <f>IFERROR(IF(B79="","",RTD("octo.rtdserver","",B79,VLOOKUP($E$9,Plan3!$B:$C,2,0))),"")</f>
        <v/>
      </c>
      <c r="F79" s="8" t="str">
        <f>IFERROR(IF(B79="","",RTD("octo.rtdserver","",B79,VLOOKUP($F$9,Plan3!$B:$C,2,0))),"")</f>
        <v/>
      </c>
      <c r="G79" s="8" t="str">
        <f>IFERROR(IF(B79="","",RTD("octo.rtdserver","",B79,VLOOKUP($G$9,Plan3!$B:$C,2,0))),"")</f>
        <v/>
      </c>
      <c r="H79" s="8" t="str">
        <f>IFERROR(IF(B79="","",RTD("octo.rtdserver","",B79,VLOOKUP($H$9,Plan3!$B:$C,2,0))),"")</f>
        <v/>
      </c>
      <c r="I79" s="8" t="str">
        <f>IFERROR(IF(B79="","",RTD("octo.rtdserver","",B79,VLOOKUP($I$9,Plan3!$B:$C,2,0))),"")</f>
        <v/>
      </c>
      <c r="J79" s="8" t="str">
        <f>IFERROR(IF(B79="","",RTD("octo.rtdserver","",B79,VLOOKUP($J$9,Plan3!$B:$C,2,0))),"")</f>
        <v/>
      </c>
      <c r="K79" s="8" t="str">
        <f>IFERROR(IF(B79="","",RTD("octo.rtdserver","",B79,VLOOKUP($K$9,Plan3!$B:$C,2,0))),"")</f>
        <v/>
      </c>
    </row>
    <row r="80" spans="3:11" x14ac:dyDescent="0.25">
      <c r="C80" s="8" t="str">
        <f>IFERROR(IF(B80="","",RTD("octo.rtdserver","",B80,VLOOKUP($C$9,Plan3!$B:$C,2,0))),"")</f>
        <v/>
      </c>
      <c r="D80" s="8" t="str">
        <f>IFERROR(IF(B80="","",RTD("octo.rtdserver","",B80,VLOOKUP($D$9,Plan3!$B:$C,2,0))),"")</f>
        <v/>
      </c>
      <c r="E80" s="8" t="str">
        <f>IFERROR(IF(B80="","",RTD("octo.rtdserver","",B80,VLOOKUP($E$9,Plan3!$B:$C,2,0))),"")</f>
        <v/>
      </c>
      <c r="F80" s="8" t="str">
        <f>IFERROR(IF(B80="","",RTD("octo.rtdserver","",B80,VLOOKUP($F$9,Plan3!$B:$C,2,0))),"")</f>
        <v/>
      </c>
      <c r="G80" s="8" t="str">
        <f>IFERROR(IF(B80="","",RTD("octo.rtdserver","",B80,VLOOKUP($G$9,Plan3!$B:$C,2,0))),"")</f>
        <v/>
      </c>
      <c r="H80" s="8" t="str">
        <f>IFERROR(IF(B80="","",RTD("octo.rtdserver","",B80,VLOOKUP($H$9,Plan3!$B:$C,2,0))),"")</f>
        <v/>
      </c>
      <c r="I80" s="8" t="str">
        <f>IFERROR(IF(B80="","",RTD("octo.rtdserver","",B80,VLOOKUP($I$9,Plan3!$B:$C,2,0))),"")</f>
        <v/>
      </c>
      <c r="J80" s="8" t="str">
        <f>IFERROR(IF(B80="","",RTD("octo.rtdserver","",B80,VLOOKUP($J$9,Plan3!$B:$C,2,0))),"")</f>
        <v/>
      </c>
      <c r="K80" s="8" t="str">
        <f>IFERROR(IF(B80="","",RTD("octo.rtdserver","",B80,VLOOKUP($K$9,Plan3!$B:$C,2,0))),"")</f>
        <v/>
      </c>
    </row>
    <row r="81" spans="3:11" x14ac:dyDescent="0.25">
      <c r="C81" s="8" t="str">
        <f>IFERROR(IF(B81="","",RTD("octo.rtdserver","",B81,VLOOKUP($C$9,Plan3!$B:$C,2,0))),"")</f>
        <v/>
      </c>
      <c r="D81" s="8" t="str">
        <f>IFERROR(IF(B81="","",RTD("octo.rtdserver","",B81,VLOOKUP($D$9,Plan3!$B:$C,2,0))),"")</f>
        <v/>
      </c>
      <c r="E81" s="8" t="str">
        <f>IFERROR(IF(B81="","",RTD("octo.rtdserver","",B81,VLOOKUP($E$9,Plan3!$B:$C,2,0))),"")</f>
        <v/>
      </c>
      <c r="F81" s="8" t="str">
        <f>IFERROR(IF(B81="","",RTD("octo.rtdserver","",B81,VLOOKUP($F$9,Plan3!$B:$C,2,0))),"")</f>
        <v/>
      </c>
      <c r="G81" s="8" t="str">
        <f>IFERROR(IF(B81="","",RTD("octo.rtdserver","",B81,VLOOKUP($G$9,Plan3!$B:$C,2,0))),"")</f>
        <v/>
      </c>
      <c r="H81" s="8" t="str">
        <f>IFERROR(IF(B81="","",RTD("octo.rtdserver","",B81,VLOOKUP($H$9,Plan3!$B:$C,2,0))),"")</f>
        <v/>
      </c>
      <c r="I81" s="8" t="str">
        <f>IFERROR(IF(B81="","",RTD("octo.rtdserver","",B81,VLOOKUP($I$9,Plan3!$B:$C,2,0))),"")</f>
        <v/>
      </c>
      <c r="J81" s="8" t="str">
        <f>IFERROR(IF(B81="","",RTD("octo.rtdserver","",B81,VLOOKUP($J$9,Plan3!$B:$C,2,0))),"")</f>
        <v/>
      </c>
      <c r="K81" s="8" t="str">
        <f>IFERROR(IF(B81="","",RTD("octo.rtdserver","",B81,VLOOKUP($K$9,Plan3!$B:$C,2,0))),"")</f>
        <v/>
      </c>
    </row>
    <row r="82" spans="3:11" x14ac:dyDescent="0.25">
      <c r="C82" s="8" t="str">
        <f>IFERROR(IF(B82="","",RTD("octo.rtdserver","",B82,VLOOKUP($C$9,Plan3!$B:$C,2,0))),"")</f>
        <v/>
      </c>
      <c r="D82" s="8" t="str">
        <f>IFERROR(IF(B82="","",RTD("octo.rtdserver","",B82,VLOOKUP($D$9,Plan3!$B:$C,2,0))),"")</f>
        <v/>
      </c>
      <c r="E82" s="8" t="str">
        <f>IFERROR(IF(B82="","",RTD("octo.rtdserver","",B82,VLOOKUP($E$9,Plan3!$B:$C,2,0))),"")</f>
        <v/>
      </c>
      <c r="F82" s="8" t="str">
        <f>IFERROR(IF(B82="","",RTD("octo.rtdserver","",B82,VLOOKUP($F$9,Plan3!$B:$C,2,0))),"")</f>
        <v/>
      </c>
      <c r="G82" s="8" t="str">
        <f>IFERROR(IF(B82="","",RTD("octo.rtdserver","",B82,VLOOKUP($G$9,Plan3!$B:$C,2,0))),"")</f>
        <v/>
      </c>
      <c r="H82" s="8" t="str">
        <f>IFERROR(IF(B82="","",RTD("octo.rtdserver","",B82,VLOOKUP($H$9,Plan3!$B:$C,2,0))),"")</f>
        <v/>
      </c>
      <c r="I82" s="8" t="str">
        <f>IFERROR(IF(B82="","",RTD("octo.rtdserver","",B82,VLOOKUP($I$9,Plan3!$B:$C,2,0))),"")</f>
        <v/>
      </c>
      <c r="J82" s="8" t="str">
        <f>IFERROR(IF(B82="","",RTD("octo.rtdserver","",B82,VLOOKUP($J$9,Plan3!$B:$C,2,0))),"")</f>
        <v/>
      </c>
      <c r="K82" s="8" t="str">
        <f>IFERROR(IF(B82="","",RTD("octo.rtdserver","",B82,VLOOKUP($K$9,Plan3!$B:$C,2,0))),"")</f>
        <v/>
      </c>
    </row>
    <row r="83" spans="3:11" x14ac:dyDescent="0.25">
      <c r="C83" s="8" t="str">
        <f>IFERROR(IF(B83="","",RTD("octo.rtdserver","",B83,VLOOKUP($C$9,Plan3!$B:$C,2,0))),"")</f>
        <v/>
      </c>
      <c r="D83" s="8" t="str">
        <f>IFERROR(IF(B83="","",RTD("octo.rtdserver","",B83,VLOOKUP($D$9,Plan3!$B:$C,2,0))),"")</f>
        <v/>
      </c>
      <c r="E83" s="8" t="str">
        <f>IFERROR(IF(B83="","",RTD("octo.rtdserver","",B83,VLOOKUP($E$9,Plan3!$B:$C,2,0))),"")</f>
        <v/>
      </c>
      <c r="F83" s="8" t="str">
        <f>IFERROR(IF(B83="","",RTD("octo.rtdserver","",B83,VLOOKUP($F$9,Plan3!$B:$C,2,0))),"")</f>
        <v/>
      </c>
      <c r="G83" s="8" t="str">
        <f>IFERROR(IF(B83="","",RTD("octo.rtdserver","",B83,VLOOKUP($G$9,Plan3!$B:$C,2,0))),"")</f>
        <v/>
      </c>
      <c r="H83" s="8" t="str">
        <f>IFERROR(IF(B83="","",RTD("octo.rtdserver","",B83,VLOOKUP($H$9,Plan3!$B:$C,2,0))),"")</f>
        <v/>
      </c>
      <c r="I83" s="8" t="str">
        <f>IFERROR(IF(B83="","",RTD("octo.rtdserver","",B83,VLOOKUP($I$9,Plan3!$B:$C,2,0))),"")</f>
        <v/>
      </c>
      <c r="J83" s="8" t="str">
        <f>IFERROR(IF(B83="","",RTD("octo.rtdserver","",B83,VLOOKUP($J$9,Plan3!$B:$C,2,0))),"")</f>
        <v/>
      </c>
      <c r="K83" s="8" t="str">
        <f>IFERROR(IF(B83="","",RTD("octo.rtdserver","",B83,VLOOKUP($K$9,Plan3!$B:$C,2,0))),"")</f>
        <v/>
      </c>
    </row>
    <row r="84" spans="3:11" x14ac:dyDescent="0.25">
      <c r="C84" s="8" t="str">
        <f>IFERROR(IF(B84="","",RTD("octo.rtdserver","",B84,VLOOKUP($C$9,Plan3!$B:$C,2,0))),"")</f>
        <v/>
      </c>
      <c r="D84" s="8" t="str">
        <f>IFERROR(IF(B84="","",RTD("octo.rtdserver","",B84,VLOOKUP($D$9,Plan3!$B:$C,2,0))),"")</f>
        <v/>
      </c>
      <c r="E84" s="8" t="str">
        <f>IFERROR(IF(B84="","",RTD("octo.rtdserver","",B84,VLOOKUP($E$9,Plan3!$B:$C,2,0))),"")</f>
        <v/>
      </c>
      <c r="F84" s="8" t="str">
        <f>IFERROR(IF(B84="","",RTD("octo.rtdserver","",B84,VLOOKUP($F$9,Plan3!$B:$C,2,0))),"")</f>
        <v/>
      </c>
      <c r="G84" s="8" t="str">
        <f>IFERROR(IF(B84="","",RTD("octo.rtdserver","",B84,VLOOKUP($G$9,Plan3!$B:$C,2,0))),"")</f>
        <v/>
      </c>
      <c r="H84" s="8" t="str">
        <f>IFERROR(IF(B84="","",RTD("octo.rtdserver","",B84,VLOOKUP($H$9,Plan3!$B:$C,2,0))),"")</f>
        <v/>
      </c>
      <c r="I84" s="8" t="str">
        <f>IFERROR(IF(B84="","",RTD("octo.rtdserver","",B84,VLOOKUP($I$9,Plan3!$B:$C,2,0))),"")</f>
        <v/>
      </c>
      <c r="J84" s="8" t="str">
        <f>IFERROR(IF(B84="","",RTD("octo.rtdserver","",B84,VLOOKUP($J$9,Plan3!$B:$C,2,0))),"")</f>
        <v/>
      </c>
      <c r="K84" s="8" t="str">
        <f>IFERROR(IF(B84="","",RTD("octo.rtdserver","",B84,VLOOKUP($K$9,Plan3!$B:$C,2,0))),"")</f>
        <v/>
      </c>
    </row>
    <row r="85" spans="3:11" x14ac:dyDescent="0.25">
      <c r="C85" s="8" t="str">
        <f>IFERROR(IF(B85="","",RTD("octo.rtdserver","",B85,VLOOKUP($C$9,Plan3!$B:$C,2,0))),"")</f>
        <v/>
      </c>
      <c r="D85" s="8" t="str">
        <f>IFERROR(IF(B85="","",RTD("octo.rtdserver","",B85,VLOOKUP($D$9,Plan3!$B:$C,2,0))),"")</f>
        <v/>
      </c>
      <c r="E85" s="8" t="str">
        <f>IFERROR(IF(B85="","",RTD("octo.rtdserver","",B85,VLOOKUP($E$9,Plan3!$B:$C,2,0))),"")</f>
        <v/>
      </c>
      <c r="F85" s="8" t="str">
        <f>IFERROR(IF(B85="","",RTD("octo.rtdserver","",B85,VLOOKUP($F$9,Plan3!$B:$C,2,0))),"")</f>
        <v/>
      </c>
      <c r="G85" s="8" t="str">
        <f>IFERROR(IF(B85="","",RTD("octo.rtdserver","",B85,VLOOKUP($G$9,Plan3!$B:$C,2,0))),"")</f>
        <v/>
      </c>
      <c r="H85" s="8" t="str">
        <f>IFERROR(IF(B85="","",RTD("octo.rtdserver","",B85,VLOOKUP($H$9,Plan3!$B:$C,2,0))),"")</f>
        <v/>
      </c>
      <c r="I85" s="8" t="str">
        <f>IFERROR(IF(B85="","",RTD("octo.rtdserver","",B85,VLOOKUP($I$9,Plan3!$B:$C,2,0))),"")</f>
        <v/>
      </c>
      <c r="J85" s="8" t="str">
        <f>IFERROR(IF(B85="","",RTD("octo.rtdserver","",B85,VLOOKUP($J$9,Plan3!$B:$C,2,0))),"")</f>
        <v/>
      </c>
      <c r="K85" s="8" t="str">
        <f>IFERROR(IF(B85="","",RTD("octo.rtdserver","",B85,VLOOKUP($K$9,Plan3!$B:$C,2,0))),"")</f>
        <v/>
      </c>
    </row>
    <row r="86" spans="3:11" x14ac:dyDescent="0.25">
      <c r="C86" s="8" t="str">
        <f>IFERROR(IF(B86="","",RTD("octo.rtdserver","",B86,VLOOKUP($C$9,Plan3!$B:$C,2,0))),"")</f>
        <v/>
      </c>
      <c r="D86" s="8" t="str">
        <f>IFERROR(IF(B86="","",RTD("octo.rtdserver","",B86,VLOOKUP($D$9,Plan3!$B:$C,2,0))),"")</f>
        <v/>
      </c>
      <c r="E86" s="8" t="str">
        <f>IFERROR(IF(B86="","",RTD("octo.rtdserver","",B86,VLOOKUP($E$9,Plan3!$B:$C,2,0))),"")</f>
        <v/>
      </c>
      <c r="F86" s="8" t="str">
        <f>IFERROR(IF(B86="","",RTD("octo.rtdserver","",B86,VLOOKUP($F$9,Plan3!$B:$C,2,0))),"")</f>
        <v/>
      </c>
      <c r="G86" s="8" t="str">
        <f>IFERROR(IF(B86="","",RTD("octo.rtdserver","",B86,VLOOKUP($G$9,Plan3!$B:$C,2,0))),"")</f>
        <v/>
      </c>
      <c r="H86" s="8" t="str">
        <f>IFERROR(IF(B86="","",RTD("octo.rtdserver","",B86,VLOOKUP($H$9,Plan3!$B:$C,2,0))),"")</f>
        <v/>
      </c>
      <c r="I86" s="8" t="str">
        <f>IFERROR(IF(B86="","",RTD("octo.rtdserver","",B86,VLOOKUP($I$9,Plan3!$B:$C,2,0))),"")</f>
        <v/>
      </c>
      <c r="J86" s="8" t="str">
        <f>IFERROR(IF(B86="","",RTD("octo.rtdserver","",B86,VLOOKUP($J$9,Plan3!$B:$C,2,0))),"")</f>
        <v/>
      </c>
      <c r="K86" s="8" t="str">
        <f>IFERROR(IF(B86="","",RTD("octo.rtdserver","",B86,VLOOKUP($K$9,Plan3!$B:$C,2,0))),"")</f>
        <v/>
      </c>
    </row>
    <row r="87" spans="3:11" x14ac:dyDescent="0.25">
      <c r="C87" s="8" t="str">
        <f>IFERROR(IF(B87="","",RTD("octo.rtdserver","",B87,VLOOKUP($C$9,Plan3!$B:$C,2,0))),"")</f>
        <v/>
      </c>
      <c r="D87" s="8" t="str">
        <f>IFERROR(IF(B87="","",RTD("octo.rtdserver","",B87,VLOOKUP($D$9,Plan3!$B:$C,2,0))),"")</f>
        <v/>
      </c>
      <c r="E87" s="8" t="str">
        <f>IFERROR(IF(B87="","",RTD("octo.rtdserver","",B87,VLOOKUP($E$9,Plan3!$B:$C,2,0))),"")</f>
        <v/>
      </c>
      <c r="F87" s="8" t="str">
        <f>IFERROR(IF(B87="","",RTD("octo.rtdserver","",B87,VLOOKUP($F$9,Plan3!$B:$C,2,0))),"")</f>
        <v/>
      </c>
      <c r="G87" s="8" t="str">
        <f>IFERROR(IF(B87="","",RTD("octo.rtdserver","",B87,VLOOKUP($G$9,Plan3!$B:$C,2,0))),"")</f>
        <v/>
      </c>
      <c r="H87" s="8" t="str">
        <f>IFERROR(IF(B87="","",RTD("octo.rtdserver","",B87,VLOOKUP($H$9,Plan3!$B:$C,2,0))),"")</f>
        <v/>
      </c>
      <c r="I87" s="8" t="str">
        <f>IFERROR(IF(B87="","",RTD("octo.rtdserver","",B87,VLOOKUP($I$9,Plan3!$B:$C,2,0))),"")</f>
        <v/>
      </c>
      <c r="J87" s="8" t="str">
        <f>IFERROR(IF(B87="","",RTD("octo.rtdserver","",B87,VLOOKUP($J$9,Plan3!$B:$C,2,0))),"")</f>
        <v/>
      </c>
      <c r="K87" s="8" t="str">
        <f>IFERROR(IF(B87="","",RTD("octo.rtdserver","",B87,VLOOKUP($K$9,Plan3!$B:$C,2,0))),"")</f>
        <v/>
      </c>
    </row>
    <row r="88" spans="3:11" x14ac:dyDescent="0.25">
      <c r="C88" s="8" t="str">
        <f>IFERROR(IF(B88="","",RTD("octo.rtdserver","",B88,VLOOKUP($C$9,Plan3!$B:$C,2,0))),"")</f>
        <v/>
      </c>
      <c r="D88" s="8" t="str">
        <f>IFERROR(IF(B88="","",RTD("octo.rtdserver","",B88,VLOOKUP($D$9,Plan3!$B:$C,2,0))),"")</f>
        <v/>
      </c>
      <c r="E88" s="8" t="str">
        <f>IFERROR(IF(B88="","",RTD("octo.rtdserver","",B88,VLOOKUP($E$9,Plan3!$B:$C,2,0))),"")</f>
        <v/>
      </c>
      <c r="F88" s="8" t="str">
        <f>IFERROR(IF(B88="","",RTD("octo.rtdserver","",B88,VLOOKUP($F$9,Plan3!$B:$C,2,0))),"")</f>
        <v/>
      </c>
      <c r="G88" s="8" t="str">
        <f>IFERROR(IF(B88="","",RTD("octo.rtdserver","",B88,VLOOKUP($G$9,Plan3!$B:$C,2,0))),"")</f>
        <v/>
      </c>
      <c r="H88" s="8" t="str">
        <f>IFERROR(IF(B88="","",RTD("octo.rtdserver","",B88,VLOOKUP($H$9,Plan3!$B:$C,2,0))),"")</f>
        <v/>
      </c>
      <c r="I88" s="8" t="str">
        <f>IFERROR(IF(B88="","",RTD("octo.rtdserver","",B88,VLOOKUP($I$9,Plan3!$B:$C,2,0))),"")</f>
        <v/>
      </c>
      <c r="J88" s="8" t="str">
        <f>IFERROR(IF(B88="","",RTD("octo.rtdserver","",B88,VLOOKUP($J$9,Plan3!$B:$C,2,0))),"")</f>
        <v/>
      </c>
      <c r="K88" s="8" t="str">
        <f>IFERROR(IF(B88="","",RTD("octo.rtdserver","",B88,VLOOKUP($K$9,Plan3!$B:$C,2,0))),"")</f>
        <v/>
      </c>
    </row>
    <row r="89" spans="3:11" x14ac:dyDescent="0.25">
      <c r="C89" s="8" t="str">
        <f>IFERROR(IF(B89="","",RTD("octo.rtdserver","",B89,VLOOKUP($C$9,Plan3!$B:$C,2,0))),"")</f>
        <v/>
      </c>
      <c r="D89" s="8" t="str">
        <f>IFERROR(IF(B89="","",RTD("octo.rtdserver","",B89,VLOOKUP($D$9,Plan3!$B:$C,2,0))),"")</f>
        <v/>
      </c>
      <c r="E89" s="8" t="str">
        <f>IFERROR(IF(B89="","",RTD("octo.rtdserver","",B89,VLOOKUP($E$9,Plan3!$B:$C,2,0))),"")</f>
        <v/>
      </c>
      <c r="F89" s="8" t="str">
        <f>IFERROR(IF(B89="","",RTD("octo.rtdserver","",B89,VLOOKUP($F$9,Plan3!$B:$C,2,0))),"")</f>
        <v/>
      </c>
      <c r="G89" s="8" t="str">
        <f>IFERROR(IF(B89="","",RTD("octo.rtdserver","",B89,VLOOKUP($G$9,Plan3!$B:$C,2,0))),"")</f>
        <v/>
      </c>
      <c r="H89" s="8" t="str">
        <f>IFERROR(IF(B89="","",RTD("octo.rtdserver","",B89,VLOOKUP($H$9,Plan3!$B:$C,2,0))),"")</f>
        <v/>
      </c>
      <c r="I89" s="8" t="str">
        <f>IFERROR(IF(B89="","",RTD("octo.rtdserver","",B89,VLOOKUP($I$9,Plan3!$B:$C,2,0))),"")</f>
        <v/>
      </c>
      <c r="J89" s="8" t="str">
        <f>IFERROR(IF(B89="","",RTD("octo.rtdserver","",B89,VLOOKUP($J$9,Plan3!$B:$C,2,0))),"")</f>
        <v/>
      </c>
      <c r="K89" s="8" t="str">
        <f>IFERROR(IF(B89="","",RTD("octo.rtdserver","",B89,VLOOKUP($K$9,Plan3!$B:$C,2,0))),"")</f>
        <v/>
      </c>
    </row>
    <row r="90" spans="3:11" x14ac:dyDescent="0.25">
      <c r="C90" s="8" t="str">
        <f>IFERROR(IF(B90="","",RTD("octo.rtdserver","",B90,VLOOKUP($C$9,Plan3!$B:$C,2,0))),"")</f>
        <v/>
      </c>
      <c r="D90" s="8" t="str">
        <f>IFERROR(IF(B90="","",RTD("octo.rtdserver","",B90,VLOOKUP($D$9,Plan3!$B:$C,2,0))),"")</f>
        <v/>
      </c>
      <c r="E90" s="8" t="str">
        <f>IFERROR(IF(B90="","",RTD("octo.rtdserver","",B90,VLOOKUP($E$9,Plan3!$B:$C,2,0))),"")</f>
        <v/>
      </c>
      <c r="F90" s="8" t="str">
        <f>IFERROR(IF(B90="","",RTD("octo.rtdserver","",B90,VLOOKUP($F$9,Plan3!$B:$C,2,0))),"")</f>
        <v/>
      </c>
      <c r="G90" s="8" t="str">
        <f>IFERROR(IF(B90="","",RTD("octo.rtdserver","",B90,VLOOKUP($G$9,Plan3!$B:$C,2,0))),"")</f>
        <v/>
      </c>
      <c r="H90" s="8" t="str">
        <f>IFERROR(IF(B90="","",RTD("octo.rtdserver","",B90,VLOOKUP($H$9,Plan3!$B:$C,2,0))),"")</f>
        <v/>
      </c>
      <c r="I90" s="8" t="str">
        <f>IFERROR(IF(B90="","",RTD("octo.rtdserver","",B90,VLOOKUP($I$9,Plan3!$B:$C,2,0))),"")</f>
        <v/>
      </c>
      <c r="J90" s="8" t="str">
        <f>IFERROR(IF(B90="","",RTD("octo.rtdserver","",B90,VLOOKUP($J$9,Plan3!$B:$C,2,0))),"")</f>
        <v/>
      </c>
      <c r="K90" s="8" t="str">
        <f>IFERROR(IF(B90="","",RTD("octo.rtdserver","",B90,VLOOKUP($K$9,Plan3!$B:$C,2,0))),"")</f>
        <v/>
      </c>
    </row>
    <row r="91" spans="3:11" x14ac:dyDescent="0.25">
      <c r="C91" s="8" t="str">
        <f>IFERROR(IF(B91="","",RTD("octo.rtdserver","",B91,VLOOKUP($C$9,Plan3!$B:$C,2,0))),"")</f>
        <v/>
      </c>
      <c r="D91" s="8" t="str">
        <f>IFERROR(IF(B91="","",RTD("octo.rtdserver","",B91,VLOOKUP($D$9,Plan3!$B:$C,2,0))),"")</f>
        <v/>
      </c>
      <c r="E91" s="8" t="str">
        <f>IFERROR(IF(B91="","",RTD("octo.rtdserver","",B91,VLOOKUP($E$9,Plan3!$B:$C,2,0))),"")</f>
        <v/>
      </c>
      <c r="F91" s="8" t="str">
        <f>IFERROR(IF(B91="","",RTD("octo.rtdserver","",B91,VLOOKUP($F$9,Plan3!$B:$C,2,0))),"")</f>
        <v/>
      </c>
      <c r="G91" s="8" t="str">
        <f>IFERROR(IF(B91="","",RTD("octo.rtdserver","",B91,VLOOKUP($G$9,Plan3!$B:$C,2,0))),"")</f>
        <v/>
      </c>
      <c r="H91" s="8" t="str">
        <f>IFERROR(IF(B91="","",RTD("octo.rtdserver","",B91,VLOOKUP($H$9,Plan3!$B:$C,2,0))),"")</f>
        <v/>
      </c>
      <c r="I91" s="8" t="str">
        <f>IFERROR(IF(B91="","",RTD("octo.rtdserver","",B91,VLOOKUP($I$9,Plan3!$B:$C,2,0))),"")</f>
        <v/>
      </c>
      <c r="J91" s="8" t="str">
        <f>IFERROR(IF(B91="","",RTD("octo.rtdserver","",B91,VLOOKUP($J$9,Plan3!$B:$C,2,0))),"")</f>
        <v/>
      </c>
      <c r="K91" s="8" t="str">
        <f>IFERROR(IF(B91="","",RTD("octo.rtdserver","",B91,VLOOKUP($K$9,Plan3!$B:$C,2,0))),"")</f>
        <v/>
      </c>
    </row>
    <row r="92" spans="3:11" x14ac:dyDescent="0.25">
      <c r="C92" s="8" t="str">
        <f>IFERROR(IF(B92="","",RTD("octo.rtdserver","",B92,VLOOKUP($C$9,Plan3!$B:$C,2,0))),"")</f>
        <v/>
      </c>
      <c r="D92" s="8" t="str">
        <f>IFERROR(IF(B92="","",RTD("octo.rtdserver","",B92,VLOOKUP($D$9,Plan3!$B:$C,2,0))),"")</f>
        <v/>
      </c>
      <c r="E92" s="8" t="str">
        <f>IFERROR(IF(B92="","",RTD("octo.rtdserver","",B92,VLOOKUP($E$9,Plan3!$B:$C,2,0))),"")</f>
        <v/>
      </c>
      <c r="F92" s="8" t="str">
        <f>IFERROR(IF(B92="","",RTD("octo.rtdserver","",B92,VLOOKUP($F$9,Plan3!$B:$C,2,0))),"")</f>
        <v/>
      </c>
      <c r="G92" s="8" t="str">
        <f>IFERROR(IF(B92="","",RTD("octo.rtdserver","",B92,VLOOKUP($G$9,Plan3!$B:$C,2,0))),"")</f>
        <v/>
      </c>
      <c r="H92" s="8" t="str">
        <f>IFERROR(IF(B92="","",RTD("octo.rtdserver","",B92,VLOOKUP($H$9,Plan3!$B:$C,2,0))),"")</f>
        <v/>
      </c>
      <c r="I92" s="8" t="str">
        <f>IFERROR(IF(B92="","",RTD("octo.rtdserver","",B92,VLOOKUP($I$9,Plan3!$B:$C,2,0))),"")</f>
        <v/>
      </c>
      <c r="J92" s="8" t="str">
        <f>IFERROR(IF(B92="","",RTD("octo.rtdserver","",B92,VLOOKUP($J$9,Plan3!$B:$C,2,0))),"")</f>
        <v/>
      </c>
      <c r="K92" s="8" t="str">
        <f>IFERROR(IF(B92="","",RTD("octo.rtdserver","",B92,VLOOKUP($K$9,Plan3!$B:$C,2,0))),"")</f>
        <v/>
      </c>
    </row>
    <row r="93" spans="3:11" x14ac:dyDescent="0.25">
      <c r="C93" s="8" t="str">
        <f>IFERROR(IF(B93="","",RTD("octo.rtdserver","",B93,VLOOKUP($C$9,Plan3!$B:$C,2,0))),"")</f>
        <v/>
      </c>
      <c r="D93" s="8" t="str">
        <f>IFERROR(IF(B93="","",RTD("octo.rtdserver","",B93,VLOOKUP($D$9,Plan3!$B:$C,2,0))),"")</f>
        <v/>
      </c>
      <c r="E93" s="8" t="str">
        <f>IFERROR(IF(B93="","",RTD("octo.rtdserver","",B93,VLOOKUP($E$9,Plan3!$B:$C,2,0))),"")</f>
        <v/>
      </c>
      <c r="F93" s="8" t="str">
        <f>IFERROR(IF(B93="","",RTD("octo.rtdserver","",B93,VLOOKUP($F$9,Plan3!$B:$C,2,0))),"")</f>
        <v/>
      </c>
      <c r="G93" s="8" t="str">
        <f>IFERROR(IF(B93="","",RTD("octo.rtdserver","",B93,VLOOKUP($G$9,Plan3!$B:$C,2,0))),"")</f>
        <v/>
      </c>
      <c r="H93" s="8" t="str">
        <f>IFERROR(IF(B93="","",RTD("octo.rtdserver","",B93,VLOOKUP($H$9,Plan3!$B:$C,2,0))),"")</f>
        <v/>
      </c>
      <c r="I93" s="8" t="str">
        <f>IFERROR(IF(B93="","",RTD("octo.rtdserver","",B93,VLOOKUP($I$9,Plan3!$B:$C,2,0))),"")</f>
        <v/>
      </c>
      <c r="J93" s="8" t="str">
        <f>IFERROR(IF(B93="","",RTD("octo.rtdserver","",B93,VLOOKUP($J$9,Plan3!$B:$C,2,0))),"")</f>
        <v/>
      </c>
      <c r="K93" s="8" t="str">
        <f>IFERROR(IF(B93="","",RTD("octo.rtdserver","",B93,VLOOKUP($K$9,Plan3!$B:$C,2,0))),"")</f>
        <v/>
      </c>
    </row>
    <row r="94" spans="3:11" x14ac:dyDescent="0.25">
      <c r="C94" s="8" t="str">
        <f>IFERROR(IF(B94="","",RTD("octo.rtdserver","",B94,VLOOKUP($C$9,Plan3!$B:$C,2,0))),"")</f>
        <v/>
      </c>
      <c r="D94" s="8" t="str">
        <f>IFERROR(IF(B94="","",RTD("octo.rtdserver","",B94,VLOOKUP($D$9,Plan3!$B:$C,2,0))),"")</f>
        <v/>
      </c>
      <c r="E94" s="8" t="str">
        <f>IFERROR(IF(B94="","",RTD("octo.rtdserver","",B94,VLOOKUP($E$9,Plan3!$B:$C,2,0))),"")</f>
        <v/>
      </c>
      <c r="F94" s="8" t="str">
        <f>IFERROR(IF(B94="","",RTD("octo.rtdserver","",B94,VLOOKUP($F$9,Plan3!$B:$C,2,0))),"")</f>
        <v/>
      </c>
      <c r="G94" s="8" t="str">
        <f>IFERROR(IF(B94="","",RTD("octo.rtdserver","",B94,VLOOKUP($G$9,Plan3!$B:$C,2,0))),"")</f>
        <v/>
      </c>
      <c r="H94" s="8" t="str">
        <f>IFERROR(IF(B94="","",RTD("octo.rtdserver","",B94,VLOOKUP($H$9,Plan3!$B:$C,2,0))),"")</f>
        <v/>
      </c>
      <c r="I94" s="8" t="str">
        <f>IFERROR(IF(B94="","",RTD("octo.rtdserver","",B94,VLOOKUP($I$9,Plan3!$B:$C,2,0))),"")</f>
        <v/>
      </c>
      <c r="J94" s="8" t="str">
        <f>IFERROR(IF(B94="","",RTD("octo.rtdserver","",B94,VLOOKUP($J$9,Plan3!$B:$C,2,0))),"")</f>
        <v/>
      </c>
      <c r="K94" s="8" t="str">
        <f>IFERROR(IF(B94="","",RTD("octo.rtdserver","",B94,VLOOKUP($K$9,Plan3!$B:$C,2,0))),"")</f>
        <v/>
      </c>
    </row>
    <row r="95" spans="3:11" x14ac:dyDescent="0.25">
      <c r="C95" s="8" t="str">
        <f>IFERROR(IF(B95="","",RTD("octo.rtdserver","",B95,VLOOKUP($C$9,Plan3!$B:$C,2,0))),"")</f>
        <v/>
      </c>
      <c r="D95" s="8" t="str">
        <f>IFERROR(IF(B95="","",RTD("octo.rtdserver","",B95,VLOOKUP($D$9,Plan3!$B:$C,2,0))),"")</f>
        <v/>
      </c>
      <c r="E95" s="8" t="str">
        <f>IFERROR(IF(B95="","",RTD("octo.rtdserver","",B95,VLOOKUP($E$9,Plan3!$B:$C,2,0))),"")</f>
        <v/>
      </c>
      <c r="F95" s="8" t="str">
        <f>IFERROR(IF(B95="","",RTD("octo.rtdserver","",B95,VLOOKUP($F$9,Plan3!$B:$C,2,0))),"")</f>
        <v/>
      </c>
      <c r="G95" s="8" t="str">
        <f>IFERROR(IF(B95="","",RTD("octo.rtdserver","",B95,VLOOKUP($G$9,Plan3!$B:$C,2,0))),"")</f>
        <v/>
      </c>
      <c r="H95" s="8" t="str">
        <f>IFERROR(IF(B95="","",RTD("octo.rtdserver","",B95,VLOOKUP($H$9,Plan3!$B:$C,2,0))),"")</f>
        <v/>
      </c>
      <c r="I95" s="8" t="str">
        <f>IFERROR(IF(B95="","",RTD("octo.rtdserver","",B95,VLOOKUP($I$9,Plan3!$B:$C,2,0))),"")</f>
        <v/>
      </c>
      <c r="J95" s="8" t="str">
        <f>IFERROR(IF(B95="","",RTD("octo.rtdserver","",B95,VLOOKUP($J$9,Plan3!$B:$C,2,0))),"")</f>
        <v/>
      </c>
      <c r="K95" s="8" t="str">
        <f>IFERROR(IF(B95="","",RTD("octo.rtdserver","",B95,VLOOKUP($K$9,Plan3!$B:$C,2,0))),"")</f>
        <v/>
      </c>
    </row>
    <row r="96" spans="3:11" x14ac:dyDescent="0.25">
      <c r="C96" s="8" t="str">
        <f>IFERROR(IF(B96="","",RTD("octo.rtdserver","",B96,VLOOKUP($C$9,Plan3!$B:$C,2,0))),"")</f>
        <v/>
      </c>
      <c r="D96" s="8" t="str">
        <f>IFERROR(IF(B96="","",RTD("octo.rtdserver","",B96,VLOOKUP($D$9,Plan3!$B:$C,2,0))),"")</f>
        <v/>
      </c>
      <c r="E96" s="8" t="str">
        <f>IFERROR(IF(B96="","",RTD("octo.rtdserver","",B96,VLOOKUP($E$9,Plan3!$B:$C,2,0))),"")</f>
        <v/>
      </c>
      <c r="F96" s="8" t="str">
        <f>IFERROR(IF(B96="","",RTD("octo.rtdserver","",B96,VLOOKUP($F$9,Plan3!$B:$C,2,0))),"")</f>
        <v/>
      </c>
      <c r="G96" s="8" t="str">
        <f>IFERROR(IF(B96="","",RTD("octo.rtdserver","",B96,VLOOKUP($G$9,Plan3!$B:$C,2,0))),"")</f>
        <v/>
      </c>
      <c r="H96" s="8" t="str">
        <f>IFERROR(IF(B96="","",RTD("octo.rtdserver","",B96,VLOOKUP($H$9,Plan3!$B:$C,2,0))),"")</f>
        <v/>
      </c>
      <c r="I96" s="8" t="str">
        <f>IFERROR(IF(B96="","",RTD("octo.rtdserver","",B96,VLOOKUP($I$9,Plan3!$B:$C,2,0))),"")</f>
        <v/>
      </c>
      <c r="J96" s="8" t="str">
        <f>IFERROR(IF(B96="","",RTD("octo.rtdserver","",B96,VLOOKUP($J$9,Plan3!$B:$C,2,0))),"")</f>
        <v/>
      </c>
      <c r="K96" s="8" t="str">
        <f>IFERROR(IF(B96="","",RTD("octo.rtdserver","",B96,VLOOKUP($K$9,Plan3!$B:$C,2,0))),"")</f>
        <v/>
      </c>
    </row>
    <row r="97" spans="3:11" x14ac:dyDescent="0.25">
      <c r="C97" s="8" t="str">
        <f>IFERROR(IF(B97="","",RTD("octo.rtdserver","",B97,VLOOKUP($C$9,Plan3!$B:$C,2,0))),"")</f>
        <v/>
      </c>
      <c r="D97" s="8" t="str">
        <f>IFERROR(IF(B97="","",RTD("octo.rtdserver","",B97,VLOOKUP($D$9,Plan3!$B:$C,2,0))),"")</f>
        <v/>
      </c>
      <c r="E97" s="8" t="str">
        <f>IFERROR(IF(B97="","",RTD("octo.rtdserver","",B97,VLOOKUP($E$9,Plan3!$B:$C,2,0))),"")</f>
        <v/>
      </c>
      <c r="F97" s="8" t="str">
        <f>IFERROR(IF(B97="","",RTD("octo.rtdserver","",B97,VLOOKUP($F$9,Plan3!$B:$C,2,0))),"")</f>
        <v/>
      </c>
      <c r="G97" s="8" t="str">
        <f>IFERROR(IF(B97="","",RTD("octo.rtdserver","",B97,VLOOKUP($G$9,Plan3!$B:$C,2,0))),"")</f>
        <v/>
      </c>
      <c r="H97" s="8" t="str">
        <f>IFERROR(IF(B97="","",RTD("octo.rtdserver","",B97,VLOOKUP($H$9,Plan3!$B:$C,2,0))),"")</f>
        <v/>
      </c>
      <c r="I97" s="8" t="str">
        <f>IFERROR(IF(B97="","",RTD("octo.rtdserver","",B97,VLOOKUP($I$9,Plan3!$B:$C,2,0))),"")</f>
        <v/>
      </c>
      <c r="J97" s="8" t="str">
        <f>IFERROR(IF(B97="","",RTD("octo.rtdserver","",B97,VLOOKUP($J$9,Plan3!$B:$C,2,0))),"")</f>
        <v/>
      </c>
      <c r="K97" s="8" t="str">
        <f>IFERROR(IF(B97="","",RTD("octo.rtdserver","",B97,VLOOKUP($K$9,Plan3!$B:$C,2,0))),"")</f>
        <v/>
      </c>
    </row>
    <row r="98" spans="3:11" x14ac:dyDescent="0.25">
      <c r="C98" s="8" t="str">
        <f>IFERROR(IF(B98="","",RTD("octo.rtdserver","",B98,VLOOKUP($C$9,Plan3!$B:$C,2,0))),"")</f>
        <v/>
      </c>
      <c r="D98" s="8" t="str">
        <f>IFERROR(IF(B98="","",RTD("octo.rtdserver","",B98,VLOOKUP($D$9,Plan3!$B:$C,2,0))),"")</f>
        <v/>
      </c>
      <c r="E98" s="8" t="str">
        <f>IFERROR(IF(B98="","",RTD("octo.rtdserver","",B98,VLOOKUP($E$9,Plan3!$B:$C,2,0))),"")</f>
        <v/>
      </c>
      <c r="F98" s="8" t="str">
        <f>IFERROR(IF(B98="","",RTD("octo.rtdserver","",B98,VLOOKUP($F$9,Plan3!$B:$C,2,0))),"")</f>
        <v/>
      </c>
      <c r="G98" s="8" t="str">
        <f>IFERROR(IF(B98="","",RTD("octo.rtdserver","",B98,VLOOKUP($G$9,Plan3!$B:$C,2,0))),"")</f>
        <v/>
      </c>
      <c r="H98" s="8" t="str">
        <f>IFERROR(IF(B98="","",RTD("octo.rtdserver","",B98,VLOOKUP($H$9,Plan3!$B:$C,2,0))),"")</f>
        <v/>
      </c>
      <c r="I98" s="8" t="str">
        <f>IFERROR(IF(B98="","",RTD("octo.rtdserver","",B98,VLOOKUP($I$9,Plan3!$B:$C,2,0))),"")</f>
        <v/>
      </c>
      <c r="J98" s="8" t="str">
        <f>IFERROR(IF(B98="","",RTD("octo.rtdserver","",B98,VLOOKUP($J$9,Plan3!$B:$C,2,0))),"")</f>
        <v/>
      </c>
      <c r="K98" s="8" t="str">
        <f>IFERROR(IF(B98="","",RTD("octo.rtdserver","",B98,VLOOKUP($K$9,Plan3!$B:$C,2,0))),"")</f>
        <v/>
      </c>
    </row>
    <row r="99" spans="3:11" x14ac:dyDescent="0.25">
      <c r="C99" s="8" t="str">
        <f>IFERROR(IF(B99="","",RTD("octo.rtdserver","",B99,VLOOKUP($C$9,Plan3!$B:$C,2,0))),"")</f>
        <v/>
      </c>
      <c r="D99" s="8" t="str">
        <f>IFERROR(IF(B99="","",RTD("octo.rtdserver","",B99,VLOOKUP($D$9,Plan3!$B:$C,2,0))),"")</f>
        <v/>
      </c>
      <c r="E99" s="8" t="str">
        <f>IFERROR(IF(B99="","",RTD("octo.rtdserver","",B99,VLOOKUP($E$9,Plan3!$B:$C,2,0))),"")</f>
        <v/>
      </c>
      <c r="F99" s="8" t="str">
        <f>IFERROR(IF(B99="","",RTD("octo.rtdserver","",B99,VLOOKUP($F$9,Plan3!$B:$C,2,0))),"")</f>
        <v/>
      </c>
      <c r="G99" s="8" t="str">
        <f>IFERROR(IF(B99="","",RTD("octo.rtdserver","",B99,VLOOKUP($G$9,Plan3!$B:$C,2,0))),"")</f>
        <v/>
      </c>
      <c r="H99" s="8" t="str">
        <f>IFERROR(IF(B99="","",RTD("octo.rtdserver","",B99,VLOOKUP($H$9,Plan3!$B:$C,2,0))),"")</f>
        <v/>
      </c>
      <c r="I99" s="8" t="str">
        <f>IFERROR(IF(B99="","",RTD("octo.rtdserver","",B99,VLOOKUP($I$9,Plan3!$B:$C,2,0))),"")</f>
        <v/>
      </c>
      <c r="J99" s="8" t="str">
        <f>IFERROR(IF(B99="","",RTD("octo.rtdserver","",B99,VLOOKUP($J$9,Plan3!$B:$C,2,0))),"")</f>
        <v/>
      </c>
      <c r="K99" s="8" t="str">
        <f>IFERROR(IF(B99="","",RTD("octo.rtdserver","",B99,VLOOKUP($K$9,Plan3!$B:$C,2,0))),"")</f>
        <v/>
      </c>
    </row>
    <row r="100" spans="3:11" x14ac:dyDescent="0.25">
      <c r="C100" s="8" t="str">
        <f>IFERROR(IF(B100="","",RTD("octo.rtdserver","",B100,VLOOKUP($C$9,Plan3!$B:$C,2,0))),"")</f>
        <v/>
      </c>
      <c r="D100" s="8" t="str">
        <f>IFERROR(IF(B100="","",RTD("octo.rtdserver","",B100,VLOOKUP($D$9,Plan3!$B:$C,2,0))),"")</f>
        <v/>
      </c>
      <c r="E100" s="8" t="str">
        <f>IFERROR(IF(B100="","",RTD("octo.rtdserver","",B100,VLOOKUP($E$9,Plan3!$B:$C,2,0))),"")</f>
        <v/>
      </c>
      <c r="F100" s="8" t="str">
        <f>IFERROR(IF(B100="","",RTD("octo.rtdserver","",B100,VLOOKUP($F$9,Plan3!$B:$C,2,0))),"")</f>
        <v/>
      </c>
      <c r="G100" s="8" t="str">
        <f>IFERROR(IF(B100="","",RTD("octo.rtdserver","",B100,VLOOKUP($G$9,Plan3!$B:$C,2,0))),"")</f>
        <v/>
      </c>
      <c r="H100" s="8" t="str">
        <f>IFERROR(IF(B100="","",RTD("octo.rtdserver","",B100,VLOOKUP($H$9,Plan3!$B:$C,2,0))),"")</f>
        <v/>
      </c>
      <c r="I100" s="8" t="str">
        <f>IFERROR(IF(B100="","",RTD("octo.rtdserver","",B100,VLOOKUP($I$9,Plan3!$B:$C,2,0))),"")</f>
        <v/>
      </c>
      <c r="J100" s="8" t="str">
        <f>IFERROR(IF(B100="","",RTD("octo.rtdserver","",B100,VLOOKUP($J$9,Plan3!$B:$C,2,0))),"")</f>
        <v/>
      </c>
      <c r="K100" s="8" t="str">
        <f>IFERROR(IF(B100="","",RTD("octo.rtdserver","",B100,VLOOKUP($K$9,Plan3!$B:$C,2,0))),"")</f>
        <v/>
      </c>
    </row>
    <row r="101" spans="3:11" x14ac:dyDescent="0.25">
      <c r="C101" s="8" t="str">
        <f>IFERROR(IF(B101="","",RTD("octo.rtdserver","",B101,VLOOKUP($C$9,Plan3!$B:$C,2,0))),"")</f>
        <v/>
      </c>
      <c r="D101" s="8" t="str">
        <f>IFERROR(IF(B101="","",RTD("octo.rtdserver","",B101,VLOOKUP($D$9,Plan3!$B:$C,2,0))),"")</f>
        <v/>
      </c>
      <c r="E101" s="8" t="str">
        <f>IFERROR(IF(B101="","",RTD("octo.rtdserver","",B101,VLOOKUP($E$9,Plan3!$B:$C,2,0))),"")</f>
        <v/>
      </c>
      <c r="F101" s="8" t="str">
        <f>IFERROR(IF(B101="","",RTD("octo.rtdserver","",B101,VLOOKUP($F$9,Plan3!$B:$C,2,0))),"")</f>
        <v/>
      </c>
      <c r="G101" s="8" t="str">
        <f>IFERROR(IF(B101="","",RTD("octo.rtdserver","",B101,VLOOKUP($G$9,Plan3!$B:$C,2,0))),"")</f>
        <v/>
      </c>
      <c r="H101" s="8" t="str">
        <f>IFERROR(IF(B101="","",RTD("octo.rtdserver","",B101,VLOOKUP($H$9,Plan3!$B:$C,2,0))),"")</f>
        <v/>
      </c>
      <c r="I101" s="8" t="str">
        <f>IFERROR(IF(B101="","",RTD("octo.rtdserver","",B101,VLOOKUP($I$9,Plan3!$B:$C,2,0))),"")</f>
        <v/>
      </c>
      <c r="J101" s="8" t="str">
        <f>IFERROR(IF(B101="","",RTD("octo.rtdserver","",B101,VLOOKUP($J$9,Plan3!$B:$C,2,0))),"")</f>
        <v/>
      </c>
      <c r="K101" s="8" t="str">
        <f>IFERROR(IF(B101="","",RTD("octo.rtdserver","",B101,VLOOKUP($K$9,Plan3!$B:$C,2,0))),"")</f>
        <v/>
      </c>
    </row>
    <row r="102" spans="3:11" x14ac:dyDescent="0.25">
      <c r="C102" s="8" t="str">
        <f>IFERROR(IF(B102="","",RTD("octo.rtdserver","",B102,VLOOKUP($C$9,Plan3!$B:$C,2,0))),"")</f>
        <v/>
      </c>
      <c r="D102" s="8" t="str">
        <f>IFERROR(IF(B102="","",RTD("octo.rtdserver","",B102,VLOOKUP($D$9,Plan3!$B:$C,2,0))),"")</f>
        <v/>
      </c>
      <c r="E102" s="8" t="str">
        <f>IFERROR(IF(B102="","",RTD("octo.rtdserver","",B102,VLOOKUP($E$9,Plan3!$B:$C,2,0))),"")</f>
        <v/>
      </c>
      <c r="F102" s="8" t="str">
        <f>IFERROR(IF(B102="","",RTD("octo.rtdserver","",B102,VLOOKUP($F$9,Plan3!$B:$C,2,0))),"")</f>
        <v/>
      </c>
      <c r="G102" s="8" t="str">
        <f>IFERROR(IF(B102="","",RTD("octo.rtdserver","",B102,VLOOKUP($G$9,Plan3!$B:$C,2,0))),"")</f>
        <v/>
      </c>
      <c r="H102" s="8" t="str">
        <f>IFERROR(IF(B102="","",RTD("octo.rtdserver","",B102,VLOOKUP($H$9,Plan3!$B:$C,2,0))),"")</f>
        <v/>
      </c>
      <c r="I102" s="8" t="str">
        <f>IFERROR(IF(B102="","",RTD("octo.rtdserver","",B102,VLOOKUP($I$9,Plan3!$B:$C,2,0))),"")</f>
        <v/>
      </c>
      <c r="J102" s="8" t="str">
        <f>IFERROR(IF(B102="","",RTD("octo.rtdserver","",B102,VLOOKUP($J$9,Plan3!$B:$C,2,0))),"")</f>
        <v/>
      </c>
      <c r="K102" s="8" t="str">
        <f>IFERROR(IF(B102="","",RTD("octo.rtdserver","",B102,VLOOKUP($K$9,Plan3!$B:$C,2,0))),"")</f>
        <v/>
      </c>
    </row>
    <row r="103" spans="3:11" x14ac:dyDescent="0.25">
      <c r="C103" s="8" t="str">
        <f>IFERROR(IF(B103="","",RTD("octo.rtdserver","",B103,VLOOKUP($C$9,Plan3!$B:$C,2,0))),"")</f>
        <v/>
      </c>
      <c r="D103" s="8" t="str">
        <f>IFERROR(IF(B103="","",RTD("octo.rtdserver","",B103,VLOOKUP($D$9,Plan3!$B:$C,2,0))),"")</f>
        <v/>
      </c>
      <c r="E103" s="8" t="str">
        <f>IFERROR(IF(B103="","",RTD("octo.rtdserver","",B103,VLOOKUP($E$9,Plan3!$B:$C,2,0))),"")</f>
        <v/>
      </c>
      <c r="F103" s="8" t="str">
        <f>IFERROR(IF(B103="","",RTD("octo.rtdserver","",B103,VLOOKUP($F$9,Plan3!$B:$C,2,0))),"")</f>
        <v/>
      </c>
      <c r="G103" s="8" t="str">
        <f>IFERROR(IF(B103="","",RTD("octo.rtdserver","",B103,VLOOKUP($G$9,Plan3!$B:$C,2,0))),"")</f>
        <v/>
      </c>
      <c r="H103" s="8" t="str">
        <f>IFERROR(IF(B103="","",RTD("octo.rtdserver","",B103,VLOOKUP($H$9,Plan3!$B:$C,2,0))),"")</f>
        <v/>
      </c>
      <c r="I103" s="8" t="str">
        <f>IFERROR(IF(B103="","",RTD("octo.rtdserver","",B103,VLOOKUP($I$9,Plan3!$B:$C,2,0))),"")</f>
        <v/>
      </c>
      <c r="J103" s="8" t="str">
        <f>IFERROR(IF(B103="","",RTD("octo.rtdserver","",B103,VLOOKUP($J$9,Plan3!$B:$C,2,0))),"")</f>
        <v/>
      </c>
      <c r="K103" s="8" t="str">
        <f>IFERROR(IF(B103="","",RTD("octo.rtdserver","",B103,VLOOKUP($K$9,Plan3!$B:$C,2,0))),"")</f>
        <v/>
      </c>
    </row>
    <row r="104" spans="3:11" x14ac:dyDescent="0.25">
      <c r="C104" s="8" t="str">
        <f>IFERROR(IF(B104="","",RTD("octo.rtdserver","",B104,VLOOKUP($C$9,Plan3!$B:$C,2,0))),"")</f>
        <v/>
      </c>
      <c r="D104" s="8" t="str">
        <f>IFERROR(IF(B104="","",RTD("octo.rtdserver","",B104,VLOOKUP($D$9,Plan3!$B:$C,2,0))),"")</f>
        <v/>
      </c>
      <c r="E104" s="8" t="str">
        <f>IFERROR(IF(B104="","",RTD("octo.rtdserver","",B104,VLOOKUP($E$9,Plan3!$B:$C,2,0))),"")</f>
        <v/>
      </c>
      <c r="F104" s="8" t="str">
        <f>IFERROR(IF(B104="","",RTD("octo.rtdserver","",B104,VLOOKUP($F$9,Plan3!$B:$C,2,0))),"")</f>
        <v/>
      </c>
      <c r="G104" s="8" t="str">
        <f>IFERROR(IF(B104="","",RTD("octo.rtdserver","",B104,VLOOKUP($G$9,Plan3!$B:$C,2,0))),"")</f>
        <v/>
      </c>
      <c r="H104" s="8" t="str">
        <f>IFERROR(IF(B104="","",RTD("octo.rtdserver","",B104,VLOOKUP($H$9,Plan3!$B:$C,2,0))),"")</f>
        <v/>
      </c>
      <c r="I104" s="8" t="str">
        <f>IFERROR(IF(B104="","",RTD("octo.rtdserver","",B104,VLOOKUP($I$9,Plan3!$B:$C,2,0))),"")</f>
        <v/>
      </c>
      <c r="J104" s="8" t="str">
        <f>IFERROR(IF(B104="","",RTD("octo.rtdserver","",B104,VLOOKUP($J$9,Plan3!$B:$C,2,0))),"")</f>
        <v/>
      </c>
      <c r="K104" s="8" t="str">
        <f>IFERROR(IF(B104="","",RTD("octo.rtdserver","",B104,VLOOKUP($K$9,Plan3!$B:$C,2,0))),"")</f>
        <v/>
      </c>
    </row>
    <row r="105" spans="3:11" x14ac:dyDescent="0.25">
      <c r="C105" s="8" t="str">
        <f>IFERROR(IF(B105="","",RTD("octo.rtdserver","",B105,VLOOKUP($C$9,Plan3!$B:$C,2,0))),"")</f>
        <v/>
      </c>
      <c r="D105" s="8" t="str">
        <f>IFERROR(IF(B105="","",RTD("octo.rtdserver","",B105,VLOOKUP($D$9,Plan3!$B:$C,2,0))),"")</f>
        <v/>
      </c>
      <c r="E105" s="8" t="str">
        <f>IFERROR(IF(B105="","",RTD("octo.rtdserver","",B105,VLOOKUP($E$9,Plan3!$B:$C,2,0))),"")</f>
        <v/>
      </c>
      <c r="F105" s="8" t="str">
        <f>IFERROR(IF(B105="","",RTD("octo.rtdserver","",B105,VLOOKUP($F$9,Plan3!$B:$C,2,0))),"")</f>
        <v/>
      </c>
      <c r="G105" s="8" t="str">
        <f>IFERROR(IF(B105="","",RTD("octo.rtdserver","",B105,VLOOKUP($G$9,Plan3!$B:$C,2,0))),"")</f>
        <v/>
      </c>
      <c r="H105" s="8" t="str">
        <f>IFERROR(IF(B105="","",RTD("octo.rtdserver","",B105,VLOOKUP($H$9,Plan3!$B:$C,2,0))),"")</f>
        <v/>
      </c>
      <c r="I105" s="8" t="str">
        <f>IFERROR(IF(B105="","",RTD("octo.rtdserver","",B105,VLOOKUP($I$9,Plan3!$B:$C,2,0))),"")</f>
        <v/>
      </c>
      <c r="J105" s="8" t="str">
        <f>IFERROR(IF(B105="","",RTD("octo.rtdserver","",B105,VLOOKUP($J$9,Plan3!$B:$C,2,0))),"")</f>
        <v/>
      </c>
      <c r="K105" s="8" t="str">
        <f>IFERROR(IF(B105="","",RTD("octo.rtdserver","",B105,VLOOKUP($K$9,Plan3!$B:$C,2,0))),"")</f>
        <v/>
      </c>
    </row>
    <row r="106" spans="3:11" x14ac:dyDescent="0.25">
      <c r="C106" s="8" t="str">
        <f>IFERROR(IF(B106="","",RTD("octo.rtdserver","",B106,VLOOKUP($C$9,Plan3!$B:$C,2,0))),"")</f>
        <v/>
      </c>
      <c r="D106" s="8" t="str">
        <f>IFERROR(IF(B106="","",RTD("octo.rtdserver","",B106,VLOOKUP($D$9,Plan3!$B:$C,2,0))),"")</f>
        <v/>
      </c>
      <c r="E106" s="8" t="str">
        <f>IFERROR(IF(B106="","",RTD("octo.rtdserver","",B106,VLOOKUP($E$9,Plan3!$B:$C,2,0))),"")</f>
        <v/>
      </c>
      <c r="F106" s="8" t="str">
        <f>IFERROR(IF(B106="","",RTD("octo.rtdserver","",B106,VLOOKUP($F$9,Plan3!$B:$C,2,0))),"")</f>
        <v/>
      </c>
      <c r="G106" s="8" t="str">
        <f>IFERROR(IF(B106="","",RTD("octo.rtdserver","",B106,VLOOKUP($G$9,Plan3!$B:$C,2,0))),"")</f>
        <v/>
      </c>
      <c r="H106" s="8" t="str">
        <f>IFERROR(IF(B106="","",RTD("octo.rtdserver","",B106,VLOOKUP($H$9,Plan3!$B:$C,2,0))),"")</f>
        <v/>
      </c>
      <c r="I106" s="8" t="str">
        <f>IFERROR(IF(B106="","",RTD("octo.rtdserver","",B106,VLOOKUP($I$9,Plan3!$B:$C,2,0))),"")</f>
        <v/>
      </c>
      <c r="J106" s="8" t="str">
        <f>IFERROR(IF(B106="","",RTD("octo.rtdserver","",B106,VLOOKUP($J$9,Plan3!$B:$C,2,0))),"")</f>
        <v/>
      </c>
      <c r="K106" s="8" t="str">
        <f>IFERROR(IF(B106="","",RTD("octo.rtdserver","",B106,VLOOKUP($K$9,Plan3!$B:$C,2,0))),"")</f>
        <v/>
      </c>
    </row>
    <row r="107" spans="3:11" x14ac:dyDescent="0.25">
      <c r="C107" s="8" t="str">
        <f>IFERROR(IF(B107="","",RTD("octo.rtdserver","",B107,VLOOKUP($C$9,Plan3!$B:$C,2,0))),"")</f>
        <v/>
      </c>
      <c r="D107" s="8" t="str">
        <f>IFERROR(IF(B107="","",RTD("octo.rtdserver","",B107,VLOOKUP($D$9,Plan3!$B:$C,2,0))),"")</f>
        <v/>
      </c>
      <c r="E107" s="8" t="str">
        <f>IFERROR(IF(B107="","",RTD("octo.rtdserver","",B107,VLOOKUP($E$9,Plan3!$B:$C,2,0))),"")</f>
        <v/>
      </c>
      <c r="F107" s="8" t="str">
        <f>IFERROR(IF(B107="","",RTD("octo.rtdserver","",B107,VLOOKUP($F$9,Plan3!$B:$C,2,0))),"")</f>
        <v/>
      </c>
      <c r="G107" s="8" t="str">
        <f>IFERROR(IF(B107="","",RTD("octo.rtdserver","",B107,VLOOKUP($G$9,Plan3!$B:$C,2,0))),"")</f>
        <v/>
      </c>
      <c r="H107" s="8" t="str">
        <f>IFERROR(IF(B107="","",RTD("octo.rtdserver","",B107,VLOOKUP($H$9,Plan3!$B:$C,2,0))),"")</f>
        <v/>
      </c>
      <c r="I107" s="8" t="str">
        <f>IFERROR(IF(B107="","",RTD("octo.rtdserver","",B107,VLOOKUP($I$9,Plan3!$B:$C,2,0))),"")</f>
        <v/>
      </c>
      <c r="J107" s="8" t="str">
        <f>IFERROR(IF(B107="","",RTD("octo.rtdserver","",B107,VLOOKUP($J$9,Plan3!$B:$C,2,0))),"")</f>
        <v/>
      </c>
      <c r="K107" s="8" t="str">
        <f>IFERROR(IF(B107="","",RTD("octo.rtdserver","",B107,VLOOKUP($K$9,Plan3!$B:$C,2,0))),"")</f>
        <v/>
      </c>
    </row>
    <row r="108" spans="3:11" x14ac:dyDescent="0.25">
      <c r="C108" s="8" t="str">
        <f>IFERROR(IF(B108="","",RTD("octo.rtdserver","",B108,VLOOKUP($C$9,Plan3!$B:$C,2,0))),"")</f>
        <v/>
      </c>
      <c r="D108" s="8" t="str">
        <f>IFERROR(IF(B108="","",RTD("octo.rtdserver","",B108,VLOOKUP($D$9,Plan3!$B:$C,2,0))),"")</f>
        <v/>
      </c>
      <c r="E108" s="8" t="str">
        <f>IFERROR(IF(B108="","",RTD("octo.rtdserver","",B108,VLOOKUP($E$9,Plan3!$B:$C,2,0))),"")</f>
        <v/>
      </c>
      <c r="F108" s="8" t="str">
        <f>IFERROR(IF(B108="","",RTD("octo.rtdserver","",B108,VLOOKUP($F$9,Plan3!$B:$C,2,0))),"")</f>
        <v/>
      </c>
      <c r="G108" s="8" t="str">
        <f>IFERROR(IF(B108="","",RTD("octo.rtdserver","",B108,VLOOKUP($G$9,Plan3!$B:$C,2,0))),"")</f>
        <v/>
      </c>
      <c r="H108" s="8" t="str">
        <f>IFERROR(IF(B108="","",RTD("octo.rtdserver","",B108,VLOOKUP($H$9,Plan3!$B:$C,2,0))),"")</f>
        <v/>
      </c>
      <c r="I108" s="8" t="str">
        <f>IFERROR(IF(B108="","",RTD("octo.rtdserver","",B108,VLOOKUP($I$9,Plan3!$B:$C,2,0))),"")</f>
        <v/>
      </c>
      <c r="J108" s="8" t="str">
        <f>IFERROR(IF(B108="","",RTD("octo.rtdserver","",B108,VLOOKUP($J$9,Plan3!$B:$C,2,0))),"")</f>
        <v/>
      </c>
      <c r="K108" s="8" t="str">
        <f>IFERROR(IF(B108="","",RTD("octo.rtdserver","",B108,VLOOKUP($K$9,Plan3!$B:$C,2,0))),"")</f>
        <v/>
      </c>
    </row>
    <row r="109" spans="3:11" x14ac:dyDescent="0.25">
      <c r="C109" s="8" t="str">
        <f>IFERROR(IF(B109="","",RTD("octo.rtdserver","",B109,VLOOKUP($C$9,Plan3!$B:$C,2,0))),"")</f>
        <v/>
      </c>
      <c r="D109" s="8" t="str">
        <f>IFERROR(IF(B109="","",RTD("octo.rtdserver","",B109,VLOOKUP($D$9,Plan3!$B:$C,2,0))),"")</f>
        <v/>
      </c>
      <c r="E109" s="8" t="str">
        <f>IFERROR(IF(B109="","",RTD("octo.rtdserver","",B109,VLOOKUP($E$9,Plan3!$B:$C,2,0))),"")</f>
        <v/>
      </c>
      <c r="F109" s="8" t="str">
        <f>IFERROR(IF(B109="","",RTD("octo.rtdserver","",B109,VLOOKUP($F$9,Plan3!$B:$C,2,0))),"")</f>
        <v/>
      </c>
      <c r="G109" s="8" t="str">
        <f>IFERROR(IF(B109="","",RTD("octo.rtdserver","",B109,VLOOKUP($G$9,Plan3!$B:$C,2,0))),"")</f>
        <v/>
      </c>
      <c r="H109" s="8" t="str">
        <f>IFERROR(IF(B109="","",RTD("octo.rtdserver","",B109,VLOOKUP($H$9,Plan3!$B:$C,2,0))),"")</f>
        <v/>
      </c>
      <c r="I109" s="8" t="str">
        <f>IFERROR(IF(B109="","",RTD("octo.rtdserver","",B109,VLOOKUP($I$9,Plan3!$B:$C,2,0))),"")</f>
        <v/>
      </c>
      <c r="J109" s="8" t="str">
        <f>IFERROR(IF(B109="","",RTD("octo.rtdserver","",B109,VLOOKUP($J$9,Plan3!$B:$C,2,0))),"")</f>
        <v/>
      </c>
      <c r="K109" s="8" t="str">
        <f>IFERROR(IF(B109="","",RTD("octo.rtdserver","",B109,VLOOKUP($K$9,Plan3!$B:$C,2,0))),"")</f>
        <v/>
      </c>
    </row>
    <row r="110" spans="3:11" x14ac:dyDescent="0.25">
      <c r="C110" s="8" t="str">
        <f>IFERROR(IF(B110="","",RTD("octo.rtdserver","",B110,VLOOKUP($C$9,Plan3!$B:$C,2,0))),"")</f>
        <v/>
      </c>
      <c r="D110" s="8" t="str">
        <f>IFERROR(IF(B110="","",RTD("octo.rtdserver","",B110,VLOOKUP($D$9,Plan3!$B:$C,2,0))),"")</f>
        <v/>
      </c>
      <c r="E110" s="8" t="str">
        <f>IFERROR(IF(B110="","",RTD("octo.rtdserver","",B110,VLOOKUP($E$9,Plan3!$B:$C,2,0))),"")</f>
        <v/>
      </c>
      <c r="F110" s="8" t="str">
        <f>IFERROR(IF(B110="","",RTD("octo.rtdserver","",B110,VLOOKUP($F$9,Plan3!$B:$C,2,0))),"")</f>
        <v/>
      </c>
      <c r="G110" s="8" t="str">
        <f>IFERROR(IF(B110="","",RTD("octo.rtdserver","",B110,VLOOKUP($G$9,Plan3!$B:$C,2,0))),"")</f>
        <v/>
      </c>
      <c r="H110" s="8" t="str">
        <f>IFERROR(IF(B110="","",RTD("octo.rtdserver","",B110,VLOOKUP($H$9,Plan3!$B:$C,2,0))),"")</f>
        <v/>
      </c>
      <c r="I110" s="8" t="str">
        <f>IFERROR(IF(B110="","",RTD("octo.rtdserver","",B110,VLOOKUP($I$9,Plan3!$B:$C,2,0))),"")</f>
        <v/>
      </c>
      <c r="J110" s="8" t="str">
        <f>IFERROR(IF(B110="","",RTD("octo.rtdserver","",B110,VLOOKUP($J$9,Plan3!$B:$C,2,0))),"")</f>
        <v/>
      </c>
      <c r="K110" s="8" t="str">
        <f>IFERROR(IF(B110="","",RTD("octo.rtdserver","",B110,VLOOKUP($K$9,Plan3!$B:$C,2,0))),"")</f>
        <v/>
      </c>
    </row>
    <row r="111" spans="3:11" x14ac:dyDescent="0.25">
      <c r="C111" s="8" t="str">
        <f>IFERROR(IF(B111="","",RTD("octo.rtdserver","",B111,VLOOKUP($C$9,Plan3!$B:$C,2,0))),"")</f>
        <v/>
      </c>
      <c r="D111" s="8" t="str">
        <f>IFERROR(IF(B111="","",RTD("octo.rtdserver","",B111,VLOOKUP($D$9,Plan3!$B:$C,2,0))),"")</f>
        <v/>
      </c>
      <c r="E111" s="8" t="str">
        <f>IFERROR(IF(B111="","",RTD("octo.rtdserver","",B111,VLOOKUP($E$9,Plan3!$B:$C,2,0))),"")</f>
        <v/>
      </c>
      <c r="F111" s="8" t="str">
        <f>IFERROR(IF(B111="","",RTD("octo.rtdserver","",B111,VLOOKUP($F$9,Plan3!$B:$C,2,0))),"")</f>
        <v/>
      </c>
      <c r="G111" s="8" t="str">
        <f>IFERROR(IF(B111="","",RTD("octo.rtdserver","",B111,VLOOKUP($G$9,Plan3!$B:$C,2,0))),"")</f>
        <v/>
      </c>
      <c r="H111" s="8" t="str">
        <f>IFERROR(IF(B111="","",RTD("octo.rtdserver","",B111,VLOOKUP($H$9,Plan3!$B:$C,2,0))),"")</f>
        <v/>
      </c>
      <c r="I111" s="8" t="str">
        <f>IFERROR(IF(B111="","",RTD("octo.rtdserver","",B111,VLOOKUP($I$9,Plan3!$B:$C,2,0))),"")</f>
        <v/>
      </c>
      <c r="J111" s="8" t="str">
        <f>IFERROR(IF(B111="","",RTD("octo.rtdserver","",B111,VLOOKUP($J$9,Plan3!$B:$C,2,0))),"")</f>
        <v/>
      </c>
      <c r="K111" s="8" t="str">
        <f>IFERROR(IF(B111="","",RTD("octo.rtdserver","",B111,VLOOKUP($K$9,Plan3!$B:$C,2,0))),"")</f>
        <v/>
      </c>
    </row>
    <row r="112" spans="3:11" x14ac:dyDescent="0.25">
      <c r="C112" s="8" t="str">
        <f>IFERROR(IF(B112="","",RTD("octo.rtdserver","",B112,VLOOKUP($C$9,Plan3!$B:$C,2,0))),"")</f>
        <v/>
      </c>
      <c r="D112" s="8" t="str">
        <f>IFERROR(IF(B112="","",RTD("octo.rtdserver","",B112,VLOOKUP($D$9,Plan3!$B:$C,2,0))),"")</f>
        <v/>
      </c>
      <c r="E112" s="8" t="str">
        <f>IFERROR(IF(B112="","",RTD("octo.rtdserver","",B112,VLOOKUP($E$9,Plan3!$B:$C,2,0))),"")</f>
        <v/>
      </c>
      <c r="F112" s="8" t="str">
        <f>IFERROR(IF(B112="","",RTD("octo.rtdserver","",B112,VLOOKUP($F$9,Plan3!$B:$C,2,0))),"")</f>
        <v/>
      </c>
      <c r="G112" s="8" t="str">
        <f>IFERROR(IF(B112="","",RTD("octo.rtdserver","",B112,VLOOKUP($G$9,Plan3!$B:$C,2,0))),"")</f>
        <v/>
      </c>
      <c r="H112" s="8" t="str">
        <f>IFERROR(IF(B112="","",RTD("octo.rtdserver","",B112,VLOOKUP($H$9,Plan3!$B:$C,2,0))),"")</f>
        <v/>
      </c>
      <c r="I112" s="8" t="str">
        <f>IFERROR(IF(B112="","",RTD("octo.rtdserver","",B112,VLOOKUP($I$9,Plan3!$B:$C,2,0))),"")</f>
        <v/>
      </c>
      <c r="J112" s="8" t="str">
        <f>IFERROR(IF(B112="","",RTD("octo.rtdserver","",B112,VLOOKUP($J$9,Plan3!$B:$C,2,0))),"")</f>
        <v/>
      </c>
      <c r="K112" s="8" t="str">
        <f>IFERROR(IF(B112="","",RTD("octo.rtdserver","",B112,VLOOKUP($K$9,Plan3!$B:$C,2,0))),"")</f>
        <v/>
      </c>
    </row>
    <row r="113" spans="3:11" x14ac:dyDescent="0.25">
      <c r="C113" s="8" t="str">
        <f>IFERROR(IF(B113="","",RTD("octo.rtdserver","",B113,VLOOKUP($C$9,Plan3!$B:$C,2,0))),"")</f>
        <v/>
      </c>
      <c r="D113" s="8" t="str">
        <f>IFERROR(IF(B113="","",RTD("octo.rtdserver","",B113,VLOOKUP($D$9,Plan3!$B:$C,2,0))),"")</f>
        <v/>
      </c>
      <c r="E113" s="8" t="str">
        <f>IFERROR(IF(B113="","",RTD("octo.rtdserver","",B113,VLOOKUP($E$9,Plan3!$B:$C,2,0))),"")</f>
        <v/>
      </c>
      <c r="F113" s="8" t="str">
        <f>IFERROR(IF(B113="","",RTD("octo.rtdserver","",B113,VLOOKUP($F$9,Plan3!$B:$C,2,0))),"")</f>
        <v/>
      </c>
      <c r="G113" s="8" t="str">
        <f>IFERROR(IF(B113="","",RTD("octo.rtdserver","",B113,VLOOKUP($G$9,Plan3!$B:$C,2,0))),"")</f>
        <v/>
      </c>
      <c r="H113" s="8" t="str">
        <f>IFERROR(IF(B113="","",RTD("octo.rtdserver","",B113,VLOOKUP($H$9,Plan3!$B:$C,2,0))),"")</f>
        <v/>
      </c>
      <c r="I113" s="8" t="str">
        <f>IFERROR(IF(B113="","",RTD("octo.rtdserver","",B113,VLOOKUP($I$9,Plan3!$B:$C,2,0))),"")</f>
        <v/>
      </c>
      <c r="J113" s="8" t="str">
        <f>IFERROR(IF(B113="","",RTD("octo.rtdserver","",B113,VLOOKUP($J$9,Plan3!$B:$C,2,0))),"")</f>
        <v/>
      </c>
      <c r="K113" s="8" t="str">
        <f>IFERROR(IF(B113="","",RTD("octo.rtdserver","",B113,VLOOKUP($K$9,Plan3!$B:$C,2,0))),"")</f>
        <v/>
      </c>
    </row>
    <row r="114" spans="3:11" x14ac:dyDescent="0.25">
      <c r="C114" s="8" t="str">
        <f>IFERROR(IF(B114="","",RTD("octo.rtdserver","",B114,VLOOKUP($C$9,Plan3!$B:$C,2,0))),"")</f>
        <v/>
      </c>
      <c r="D114" s="8" t="str">
        <f>IFERROR(IF(B114="","",RTD("octo.rtdserver","",B114,VLOOKUP($D$9,Plan3!$B:$C,2,0))),"")</f>
        <v/>
      </c>
      <c r="E114" s="8" t="str">
        <f>IFERROR(IF(B114="","",RTD("octo.rtdserver","",B114,VLOOKUP($E$9,Plan3!$B:$C,2,0))),"")</f>
        <v/>
      </c>
      <c r="F114" s="8" t="str">
        <f>IFERROR(IF(B114="","",RTD("octo.rtdserver","",B114,VLOOKUP($F$9,Plan3!$B:$C,2,0))),"")</f>
        <v/>
      </c>
      <c r="G114" s="8" t="str">
        <f>IFERROR(IF(B114="","",RTD("octo.rtdserver","",B114,VLOOKUP($G$9,Plan3!$B:$C,2,0))),"")</f>
        <v/>
      </c>
      <c r="H114" s="8" t="str">
        <f>IFERROR(IF(B114="","",RTD("octo.rtdserver","",B114,VLOOKUP($H$9,Plan3!$B:$C,2,0))),"")</f>
        <v/>
      </c>
      <c r="I114" s="8" t="str">
        <f>IFERROR(IF(B114="","",RTD("octo.rtdserver","",B114,VLOOKUP($I$9,Plan3!$B:$C,2,0))),"")</f>
        <v/>
      </c>
      <c r="J114" s="8" t="str">
        <f>IFERROR(IF(B114="","",RTD("octo.rtdserver","",B114,VLOOKUP($J$9,Plan3!$B:$C,2,0))),"")</f>
        <v/>
      </c>
      <c r="K114" s="8" t="str">
        <f>IFERROR(IF(B114="","",RTD("octo.rtdserver","",B114,VLOOKUP($K$9,Plan3!$B:$C,2,0))),"")</f>
        <v/>
      </c>
    </row>
    <row r="115" spans="3:11" x14ac:dyDescent="0.25">
      <c r="C115" s="8" t="str">
        <f>IFERROR(IF(B115="","",RTD("octo.rtdserver","",B115,VLOOKUP($C$9,Plan3!$B:$C,2,0))),"")</f>
        <v/>
      </c>
      <c r="D115" s="8" t="str">
        <f>IFERROR(IF(B115="","",RTD("octo.rtdserver","",B115,VLOOKUP($D$9,Plan3!$B:$C,2,0))),"")</f>
        <v/>
      </c>
      <c r="E115" s="8" t="str">
        <f>IFERROR(IF(B115="","",RTD("octo.rtdserver","",B115,VLOOKUP($E$9,Plan3!$B:$C,2,0))),"")</f>
        <v/>
      </c>
      <c r="F115" s="8" t="str">
        <f>IFERROR(IF(B115="","",RTD("octo.rtdserver","",B115,VLOOKUP($F$9,Plan3!$B:$C,2,0))),"")</f>
        <v/>
      </c>
      <c r="G115" s="8" t="str">
        <f>IFERROR(IF(B115="","",RTD("octo.rtdserver","",B115,VLOOKUP($G$9,Plan3!$B:$C,2,0))),"")</f>
        <v/>
      </c>
      <c r="H115" s="8" t="str">
        <f>IFERROR(IF(B115="","",RTD("octo.rtdserver","",B115,VLOOKUP($H$9,Plan3!$B:$C,2,0))),"")</f>
        <v/>
      </c>
      <c r="I115" s="8" t="str">
        <f>IFERROR(IF(B115="","",RTD("octo.rtdserver","",B115,VLOOKUP($I$9,Plan3!$B:$C,2,0))),"")</f>
        <v/>
      </c>
      <c r="J115" s="8" t="str">
        <f>IFERROR(IF(B115="","",RTD("octo.rtdserver","",B115,VLOOKUP($J$9,Plan3!$B:$C,2,0))),"")</f>
        <v/>
      </c>
      <c r="K115" s="8" t="str">
        <f>IFERROR(IF(B115="","",RTD("octo.rtdserver","",B115,VLOOKUP($K$9,Plan3!$B:$C,2,0))),"")</f>
        <v/>
      </c>
    </row>
    <row r="116" spans="3:11" x14ac:dyDescent="0.25">
      <c r="C116" s="8" t="str">
        <f>IFERROR(IF(B116="","",RTD("octo.rtdserver","",B116,VLOOKUP($C$9,Plan3!$B:$C,2,0))),"")</f>
        <v/>
      </c>
      <c r="D116" s="8" t="str">
        <f>IFERROR(IF(B116="","",RTD("octo.rtdserver","",B116,VLOOKUP($D$9,Plan3!$B:$C,2,0))),"")</f>
        <v/>
      </c>
      <c r="E116" s="8" t="str">
        <f>IFERROR(IF(B116="","",RTD("octo.rtdserver","",B116,VLOOKUP($E$9,Plan3!$B:$C,2,0))),"")</f>
        <v/>
      </c>
      <c r="F116" s="8" t="str">
        <f>IFERROR(IF(B116="","",RTD("octo.rtdserver","",B116,VLOOKUP($F$9,Plan3!$B:$C,2,0))),"")</f>
        <v/>
      </c>
      <c r="G116" s="8" t="str">
        <f>IFERROR(IF(B116="","",RTD("octo.rtdserver","",B116,VLOOKUP($G$9,Plan3!$B:$C,2,0))),"")</f>
        <v/>
      </c>
      <c r="H116" s="8" t="str">
        <f>IFERROR(IF(B116="","",RTD("octo.rtdserver","",B116,VLOOKUP($H$9,Plan3!$B:$C,2,0))),"")</f>
        <v/>
      </c>
      <c r="I116" s="8" t="str">
        <f>IFERROR(IF(B116="","",RTD("octo.rtdserver","",B116,VLOOKUP($I$9,Plan3!$B:$C,2,0))),"")</f>
        <v/>
      </c>
      <c r="J116" s="8" t="str">
        <f>IFERROR(IF(B116="","",RTD("octo.rtdserver","",B116,VLOOKUP($J$9,Plan3!$B:$C,2,0))),"")</f>
        <v/>
      </c>
      <c r="K116" s="8" t="str">
        <f>IFERROR(IF(B116="","",RTD("octo.rtdserver","",B116,VLOOKUP($K$9,Plan3!$B:$C,2,0))),"")</f>
        <v/>
      </c>
    </row>
    <row r="117" spans="3:11" x14ac:dyDescent="0.25">
      <c r="C117" s="8" t="str">
        <f>IFERROR(IF(B117="","",RTD("octo.rtdserver","",B117,VLOOKUP($C$9,Plan3!$B:$C,2,0))),"")</f>
        <v/>
      </c>
      <c r="D117" s="8" t="str">
        <f>IFERROR(IF(B117="","",RTD("octo.rtdserver","",B117,VLOOKUP($D$9,Plan3!$B:$C,2,0))),"")</f>
        <v/>
      </c>
      <c r="E117" s="8" t="str">
        <f>IFERROR(IF(B117="","",RTD("octo.rtdserver","",B117,VLOOKUP($E$9,Plan3!$B:$C,2,0))),"")</f>
        <v/>
      </c>
      <c r="F117" s="8" t="str">
        <f>IFERROR(IF(B117="","",RTD("octo.rtdserver","",B117,VLOOKUP($F$9,Plan3!$B:$C,2,0))),"")</f>
        <v/>
      </c>
      <c r="G117" s="8" t="str">
        <f>IFERROR(IF(B117="","",RTD("octo.rtdserver","",B117,VLOOKUP($G$9,Plan3!$B:$C,2,0))),"")</f>
        <v/>
      </c>
      <c r="H117" s="8" t="str">
        <f>IFERROR(IF(B117="","",RTD("octo.rtdserver","",B117,VLOOKUP($H$9,Plan3!$B:$C,2,0))),"")</f>
        <v/>
      </c>
      <c r="I117" s="8" t="str">
        <f>IFERROR(IF(B117="","",RTD("octo.rtdserver","",B117,VLOOKUP($I$9,Plan3!$B:$C,2,0))),"")</f>
        <v/>
      </c>
      <c r="J117" s="8" t="str">
        <f>IFERROR(IF(B117="","",RTD("octo.rtdserver","",B117,VLOOKUP($J$9,Plan3!$B:$C,2,0))),"")</f>
        <v/>
      </c>
      <c r="K117" s="8" t="str">
        <f>IFERROR(IF(B117="","",RTD("octo.rtdserver","",B117,VLOOKUP($K$9,Plan3!$B:$C,2,0))),"")</f>
        <v/>
      </c>
    </row>
    <row r="118" spans="3:11" x14ac:dyDescent="0.25">
      <c r="C118" s="8" t="str">
        <f>IFERROR(IF(B118="","",RTD("octo.rtdserver","",B118,VLOOKUP($C$9,Plan3!$B:$C,2,0))),"")</f>
        <v/>
      </c>
      <c r="D118" s="8" t="str">
        <f>IFERROR(IF(B118="","",RTD("octo.rtdserver","",B118,VLOOKUP($D$9,Plan3!$B:$C,2,0))),"")</f>
        <v/>
      </c>
      <c r="E118" s="8" t="str">
        <f>IFERROR(IF(B118="","",RTD("octo.rtdserver","",B118,VLOOKUP($E$9,Plan3!$B:$C,2,0))),"")</f>
        <v/>
      </c>
      <c r="F118" s="8" t="str">
        <f>IFERROR(IF(B118="","",RTD("octo.rtdserver","",B118,VLOOKUP($F$9,Plan3!$B:$C,2,0))),"")</f>
        <v/>
      </c>
      <c r="G118" s="8" t="str">
        <f>IFERROR(IF(B118="","",RTD("octo.rtdserver","",B118,VLOOKUP($G$9,Plan3!$B:$C,2,0))),"")</f>
        <v/>
      </c>
      <c r="H118" s="8" t="str">
        <f>IFERROR(IF(B118="","",RTD("octo.rtdserver","",B118,VLOOKUP($H$9,Plan3!$B:$C,2,0))),"")</f>
        <v/>
      </c>
      <c r="I118" s="8" t="str">
        <f>IFERROR(IF(B118="","",RTD("octo.rtdserver","",B118,VLOOKUP($I$9,Plan3!$B:$C,2,0))),"")</f>
        <v/>
      </c>
      <c r="J118" s="8" t="str">
        <f>IFERROR(IF(B118="","",RTD("octo.rtdserver","",B118,VLOOKUP($J$9,Plan3!$B:$C,2,0))),"")</f>
        <v/>
      </c>
      <c r="K118" s="8" t="str">
        <f>IFERROR(IF(B118="","",RTD("octo.rtdserver","",B118,VLOOKUP($K$9,Plan3!$B:$C,2,0))),"")</f>
        <v/>
      </c>
    </row>
    <row r="119" spans="3:11" x14ac:dyDescent="0.25">
      <c r="C119" s="8" t="str">
        <f>IFERROR(IF(B119="","",RTD("octo.rtdserver","",B119,VLOOKUP($C$9,Plan3!$B:$C,2,0))),"")</f>
        <v/>
      </c>
      <c r="D119" s="8" t="str">
        <f>IFERROR(IF(B119="","",RTD("octo.rtdserver","",B119,VLOOKUP($D$9,Plan3!$B:$C,2,0))),"")</f>
        <v/>
      </c>
      <c r="E119" s="8" t="str">
        <f>IFERROR(IF(B119="","",RTD("octo.rtdserver","",B119,VLOOKUP($E$9,Plan3!$B:$C,2,0))),"")</f>
        <v/>
      </c>
      <c r="F119" s="8" t="str">
        <f>IFERROR(IF(B119="","",RTD("octo.rtdserver","",B119,VLOOKUP($F$9,Plan3!$B:$C,2,0))),"")</f>
        <v/>
      </c>
      <c r="G119" s="8" t="str">
        <f>IFERROR(IF(B119="","",RTD("octo.rtdserver","",B119,VLOOKUP($G$9,Plan3!$B:$C,2,0))),"")</f>
        <v/>
      </c>
      <c r="H119" s="8" t="str">
        <f>IFERROR(IF(B119="","",RTD("octo.rtdserver","",B119,VLOOKUP($H$9,Plan3!$B:$C,2,0))),"")</f>
        <v/>
      </c>
      <c r="I119" s="8" t="str">
        <f>IFERROR(IF(B119="","",RTD("octo.rtdserver","",B119,VLOOKUP($I$9,Plan3!$B:$C,2,0))),"")</f>
        <v/>
      </c>
      <c r="J119" s="8" t="str">
        <f>IFERROR(IF(B119="","",RTD("octo.rtdserver","",B119,VLOOKUP($J$9,Plan3!$B:$C,2,0))),"")</f>
        <v/>
      </c>
      <c r="K119" s="8" t="str">
        <f>IFERROR(IF(B119="","",RTD("octo.rtdserver","",B119,VLOOKUP($K$9,Plan3!$B:$C,2,0))),"")</f>
        <v/>
      </c>
    </row>
    <row r="120" spans="3:11" x14ac:dyDescent="0.25">
      <c r="C120" s="8" t="str">
        <f>IFERROR(IF(B120="","",RTD("octo.rtdserver","",B120,VLOOKUP($C$9,Plan3!$B:$C,2,0))),"")</f>
        <v/>
      </c>
      <c r="D120" s="8" t="str">
        <f>IFERROR(IF(B120="","",RTD("octo.rtdserver","",B120,VLOOKUP($D$9,Plan3!$B:$C,2,0))),"")</f>
        <v/>
      </c>
      <c r="E120" s="8" t="str">
        <f>IFERROR(IF(B120="","",RTD("octo.rtdserver","",B120,VLOOKUP($E$9,Plan3!$B:$C,2,0))),"")</f>
        <v/>
      </c>
      <c r="F120" s="8" t="str">
        <f>IFERROR(IF(B120="","",RTD("octo.rtdserver","",B120,VLOOKUP($F$9,Plan3!$B:$C,2,0))),"")</f>
        <v/>
      </c>
      <c r="G120" s="8" t="str">
        <f>IFERROR(IF(B120="","",RTD("octo.rtdserver","",B120,VLOOKUP($G$9,Plan3!$B:$C,2,0))),"")</f>
        <v/>
      </c>
      <c r="H120" s="8" t="str">
        <f>IFERROR(IF(B120="","",RTD("octo.rtdserver","",B120,VLOOKUP($H$9,Plan3!$B:$C,2,0))),"")</f>
        <v/>
      </c>
      <c r="I120" s="8" t="str">
        <f>IFERROR(IF(B120="","",RTD("octo.rtdserver","",B120,VLOOKUP($I$9,Plan3!$B:$C,2,0))),"")</f>
        <v/>
      </c>
      <c r="J120" s="8" t="str">
        <f>IFERROR(IF(B120="","",RTD("octo.rtdserver","",B120,VLOOKUP($J$9,Plan3!$B:$C,2,0))),"")</f>
        <v/>
      </c>
      <c r="K120" s="8" t="str">
        <f>IFERROR(IF(B120="","",RTD("octo.rtdserver","",B120,VLOOKUP($K$9,Plan3!$B:$C,2,0))),"")</f>
        <v/>
      </c>
    </row>
    <row r="121" spans="3:11" x14ac:dyDescent="0.25">
      <c r="C121" s="8" t="str">
        <f>IFERROR(IF(B121="","",RTD("octo.rtdserver","",B121,VLOOKUP($C$9,Plan3!$B:$C,2,0))),"")</f>
        <v/>
      </c>
      <c r="D121" s="8" t="str">
        <f>IFERROR(IF(B121="","",RTD("octo.rtdserver","",B121,VLOOKUP($D$9,Plan3!$B:$C,2,0))),"")</f>
        <v/>
      </c>
      <c r="E121" s="8" t="str">
        <f>IFERROR(IF(B121="","",RTD("octo.rtdserver","",B121,VLOOKUP($E$9,Plan3!$B:$C,2,0))),"")</f>
        <v/>
      </c>
      <c r="F121" s="8" t="str">
        <f>IFERROR(IF(B121="","",RTD("octo.rtdserver","",B121,VLOOKUP($F$9,Plan3!$B:$C,2,0))),"")</f>
        <v/>
      </c>
      <c r="G121" s="8" t="str">
        <f>IFERROR(IF(B121="","",RTD("octo.rtdserver","",B121,VLOOKUP($G$9,Plan3!$B:$C,2,0))),"")</f>
        <v/>
      </c>
      <c r="H121" s="8" t="str">
        <f>IFERROR(IF(B121="","",RTD("octo.rtdserver","",B121,VLOOKUP($H$9,Plan3!$B:$C,2,0))),"")</f>
        <v/>
      </c>
      <c r="I121" s="8" t="str">
        <f>IFERROR(IF(B121="","",RTD("octo.rtdserver","",B121,VLOOKUP($I$9,Plan3!$B:$C,2,0))),"")</f>
        <v/>
      </c>
      <c r="J121" s="8" t="str">
        <f>IFERROR(IF(B121="","",RTD("octo.rtdserver","",B121,VLOOKUP($J$9,Plan3!$B:$C,2,0))),"")</f>
        <v/>
      </c>
      <c r="K121" s="8" t="str">
        <f>IFERROR(IF(B121="","",RTD("octo.rtdserver","",B121,VLOOKUP($K$9,Plan3!$B:$C,2,0))),"")</f>
        <v/>
      </c>
    </row>
    <row r="122" spans="3:11" x14ac:dyDescent="0.25">
      <c r="C122" s="8" t="str">
        <f>IFERROR(IF(B122="","",RTD("octo.rtdserver","",B122,VLOOKUP($C$9,Plan3!$B:$C,2,0))),"")</f>
        <v/>
      </c>
      <c r="D122" s="8" t="str">
        <f>IFERROR(IF(B122="","",RTD("octo.rtdserver","",B122,VLOOKUP($D$9,Plan3!$B:$C,2,0))),"")</f>
        <v/>
      </c>
      <c r="E122" s="8" t="str">
        <f>IFERROR(IF(B122="","",RTD("octo.rtdserver","",B122,VLOOKUP($E$9,Plan3!$B:$C,2,0))),"")</f>
        <v/>
      </c>
      <c r="F122" s="8" t="str">
        <f>IFERROR(IF(B122="","",RTD("octo.rtdserver","",B122,VLOOKUP($F$9,Plan3!$B:$C,2,0))),"")</f>
        <v/>
      </c>
      <c r="G122" s="8" t="str">
        <f>IFERROR(IF(B122="","",RTD("octo.rtdserver","",B122,VLOOKUP($G$9,Plan3!$B:$C,2,0))),"")</f>
        <v/>
      </c>
      <c r="H122" s="8" t="str">
        <f>IFERROR(IF(B122="","",RTD("octo.rtdserver","",B122,VLOOKUP($H$9,Plan3!$B:$C,2,0))),"")</f>
        <v/>
      </c>
      <c r="I122" s="8" t="str">
        <f>IFERROR(IF(B122="","",RTD("octo.rtdserver","",B122,VLOOKUP($I$9,Plan3!$B:$C,2,0))),"")</f>
        <v/>
      </c>
      <c r="J122" s="8" t="str">
        <f>IFERROR(IF(B122="","",RTD("octo.rtdserver","",B122,VLOOKUP($J$9,Plan3!$B:$C,2,0))),"")</f>
        <v/>
      </c>
      <c r="K122" s="8" t="str">
        <f>IFERROR(IF(B122="","",RTD("octo.rtdserver","",B122,VLOOKUP($K$9,Plan3!$B:$C,2,0))),"")</f>
        <v/>
      </c>
    </row>
    <row r="123" spans="3:11" x14ac:dyDescent="0.25">
      <c r="C123" s="8" t="str">
        <f>IFERROR(IF(B123="","",RTD("octo.rtdserver","",B123,VLOOKUP($C$9,Plan3!$B:$C,2,0))),"")</f>
        <v/>
      </c>
      <c r="D123" s="8" t="str">
        <f>IFERROR(IF(B123="","",RTD("octo.rtdserver","",B123,VLOOKUP($D$9,Plan3!$B:$C,2,0))),"")</f>
        <v/>
      </c>
      <c r="E123" s="8" t="str">
        <f>IFERROR(IF(B123="","",RTD("octo.rtdserver","",B123,VLOOKUP($E$9,Plan3!$B:$C,2,0))),"")</f>
        <v/>
      </c>
      <c r="F123" s="8" t="str">
        <f>IFERROR(IF(B123="","",RTD("octo.rtdserver","",B123,VLOOKUP($F$9,Plan3!$B:$C,2,0))),"")</f>
        <v/>
      </c>
      <c r="G123" s="8" t="str">
        <f>IFERROR(IF(B123="","",RTD("octo.rtdserver","",B123,VLOOKUP($G$9,Plan3!$B:$C,2,0))),"")</f>
        <v/>
      </c>
      <c r="H123" s="8" t="str">
        <f>IFERROR(IF(B123="","",RTD("octo.rtdserver","",B123,VLOOKUP($H$9,Plan3!$B:$C,2,0))),"")</f>
        <v/>
      </c>
      <c r="I123" s="8" t="str">
        <f>IFERROR(IF(B123="","",RTD("octo.rtdserver","",B123,VLOOKUP($I$9,Plan3!$B:$C,2,0))),"")</f>
        <v/>
      </c>
      <c r="J123" s="8" t="str">
        <f>IFERROR(IF(B123="","",RTD("octo.rtdserver","",B123,VLOOKUP($J$9,Plan3!$B:$C,2,0))),"")</f>
        <v/>
      </c>
      <c r="K123" s="8" t="str">
        <f>IFERROR(IF(B123="","",RTD("octo.rtdserver","",B123,VLOOKUP($K$9,Plan3!$B:$C,2,0))),"")</f>
        <v/>
      </c>
    </row>
    <row r="124" spans="3:11" x14ac:dyDescent="0.25">
      <c r="C124" s="8" t="str">
        <f>IFERROR(IF(B124="","",RTD("octo.rtdserver","",B124,VLOOKUP($C$9,Plan3!$B:$C,2,0))),"")</f>
        <v/>
      </c>
      <c r="D124" s="8" t="str">
        <f>IFERROR(IF(B124="","",RTD("octo.rtdserver","",B124,VLOOKUP($D$9,Plan3!$B:$C,2,0))),"")</f>
        <v/>
      </c>
      <c r="E124" s="8" t="str">
        <f>IFERROR(IF(B124="","",RTD("octo.rtdserver","",B124,VLOOKUP($E$9,Plan3!$B:$C,2,0))),"")</f>
        <v/>
      </c>
      <c r="F124" s="8" t="str">
        <f>IFERROR(IF(B124="","",RTD("octo.rtdserver","",B124,VLOOKUP($F$9,Plan3!$B:$C,2,0))),"")</f>
        <v/>
      </c>
      <c r="G124" s="8" t="str">
        <f>IFERROR(IF(B124="","",RTD("octo.rtdserver","",B124,VLOOKUP($G$9,Plan3!$B:$C,2,0))),"")</f>
        <v/>
      </c>
      <c r="H124" s="8" t="str">
        <f>IFERROR(IF(B124="","",RTD("octo.rtdserver","",B124,VLOOKUP($H$9,Plan3!$B:$C,2,0))),"")</f>
        <v/>
      </c>
      <c r="I124" s="8" t="str">
        <f>IFERROR(IF(B124="","",RTD("octo.rtdserver","",B124,VLOOKUP($I$9,Plan3!$B:$C,2,0))),"")</f>
        <v/>
      </c>
      <c r="J124" s="8" t="str">
        <f>IFERROR(IF(B124="","",RTD("octo.rtdserver","",B124,VLOOKUP($J$9,Plan3!$B:$C,2,0))),"")</f>
        <v/>
      </c>
      <c r="K124" s="8" t="str">
        <f>IFERROR(IF(B124="","",RTD("octo.rtdserver","",B124,VLOOKUP($K$9,Plan3!$B:$C,2,0))),"")</f>
        <v/>
      </c>
    </row>
    <row r="125" spans="3:11" x14ac:dyDescent="0.25">
      <c r="C125" s="8" t="str">
        <f>IFERROR(IF(B125="","",RTD("octo.rtdserver","",B125,VLOOKUP($C$9,Plan3!$B:$C,2,0))),"")</f>
        <v/>
      </c>
      <c r="D125" s="8" t="str">
        <f>IFERROR(IF(B125="","",RTD("octo.rtdserver","",B125,VLOOKUP($D$9,Plan3!$B:$C,2,0))),"")</f>
        <v/>
      </c>
      <c r="E125" s="8" t="str">
        <f>IFERROR(IF(B125="","",RTD("octo.rtdserver","",B125,VLOOKUP($E$9,Plan3!$B:$C,2,0))),"")</f>
        <v/>
      </c>
      <c r="F125" s="8" t="str">
        <f>IFERROR(IF(B125="","",RTD("octo.rtdserver","",B125,VLOOKUP($F$9,Plan3!$B:$C,2,0))),"")</f>
        <v/>
      </c>
      <c r="G125" s="8" t="str">
        <f>IFERROR(IF(B125="","",RTD("octo.rtdserver","",B125,VLOOKUP($G$9,Plan3!$B:$C,2,0))),"")</f>
        <v/>
      </c>
      <c r="H125" s="8" t="str">
        <f>IFERROR(IF(B125="","",RTD("octo.rtdserver","",B125,VLOOKUP($H$9,Plan3!$B:$C,2,0))),"")</f>
        <v/>
      </c>
      <c r="I125" s="8" t="str">
        <f>IFERROR(IF(B125="","",RTD("octo.rtdserver","",B125,VLOOKUP($I$9,Plan3!$B:$C,2,0))),"")</f>
        <v/>
      </c>
      <c r="J125" s="8" t="str">
        <f>IFERROR(IF(B125="","",RTD("octo.rtdserver","",B125,VLOOKUP($J$9,Plan3!$B:$C,2,0))),"")</f>
        <v/>
      </c>
      <c r="K125" s="8" t="str">
        <f>IFERROR(IF(B125="","",RTD("octo.rtdserver","",B125,VLOOKUP($K$9,Plan3!$B:$C,2,0))),"")</f>
        <v/>
      </c>
    </row>
    <row r="126" spans="3:11" x14ac:dyDescent="0.25">
      <c r="C126" s="8" t="str">
        <f>IFERROR(IF(B126="","",RTD("octo.rtdserver","",B126,VLOOKUP($C$9,Plan3!$B:$C,2,0))),"")</f>
        <v/>
      </c>
      <c r="D126" s="8" t="str">
        <f>IFERROR(IF(B126="","",RTD("octo.rtdserver","",B126,VLOOKUP($D$9,Plan3!$B:$C,2,0))),"")</f>
        <v/>
      </c>
      <c r="E126" s="8" t="str">
        <f>IFERROR(IF(B126="","",RTD("octo.rtdserver","",B126,VLOOKUP($E$9,Plan3!$B:$C,2,0))),"")</f>
        <v/>
      </c>
      <c r="F126" s="8" t="str">
        <f>IFERROR(IF(B126="","",RTD("octo.rtdserver","",B126,VLOOKUP($F$9,Plan3!$B:$C,2,0))),"")</f>
        <v/>
      </c>
      <c r="G126" s="8" t="str">
        <f>IFERROR(IF(B126="","",RTD("octo.rtdserver","",B126,VLOOKUP($G$9,Plan3!$B:$C,2,0))),"")</f>
        <v/>
      </c>
      <c r="H126" s="8" t="str">
        <f>IFERROR(IF(B126="","",RTD("octo.rtdserver","",B126,VLOOKUP($H$9,Plan3!$B:$C,2,0))),"")</f>
        <v/>
      </c>
      <c r="I126" s="8" t="str">
        <f>IFERROR(IF(B126="","",RTD("octo.rtdserver","",B126,VLOOKUP($I$9,Plan3!$B:$C,2,0))),"")</f>
        <v/>
      </c>
      <c r="J126" s="8" t="str">
        <f>IFERROR(IF(B126="","",RTD("octo.rtdserver","",B126,VLOOKUP($J$9,Plan3!$B:$C,2,0))),"")</f>
        <v/>
      </c>
      <c r="K126" s="8" t="str">
        <f>IFERROR(IF(B126="","",RTD("octo.rtdserver","",B126,VLOOKUP($K$9,Plan3!$B:$C,2,0))),"")</f>
        <v/>
      </c>
    </row>
    <row r="127" spans="3:11" x14ac:dyDescent="0.25">
      <c r="C127" s="8" t="str">
        <f>IFERROR(IF(B127="","",RTD("octo.rtdserver","",B127,VLOOKUP($C$9,Plan3!$B:$C,2,0))),"")</f>
        <v/>
      </c>
      <c r="D127" s="8" t="str">
        <f>IFERROR(IF(B127="","",RTD("octo.rtdserver","",B127,VLOOKUP($D$9,Plan3!$B:$C,2,0))),"")</f>
        <v/>
      </c>
      <c r="E127" s="8" t="str">
        <f>IFERROR(IF(B127="","",RTD("octo.rtdserver","",B127,VLOOKUP($E$9,Plan3!$B:$C,2,0))),"")</f>
        <v/>
      </c>
      <c r="F127" s="8" t="str">
        <f>IFERROR(IF(B127="","",RTD("octo.rtdserver","",B127,VLOOKUP($F$9,Plan3!$B:$C,2,0))),"")</f>
        <v/>
      </c>
      <c r="G127" s="8" t="str">
        <f>IFERROR(IF(B127="","",RTD("octo.rtdserver","",B127,VLOOKUP($G$9,Plan3!$B:$C,2,0))),"")</f>
        <v/>
      </c>
      <c r="H127" s="8" t="str">
        <f>IFERROR(IF(B127="","",RTD("octo.rtdserver","",B127,VLOOKUP($H$9,Plan3!$B:$C,2,0))),"")</f>
        <v/>
      </c>
      <c r="I127" s="8" t="str">
        <f>IFERROR(IF(B127="","",RTD("octo.rtdserver","",B127,VLOOKUP($I$9,Plan3!$B:$C,2,0))),"")</f>
        <v/>
      </c>
      <c r="J127" s="8" t="str">
        <f>IFERROR(IF(B127="","",RTD("octo.rtdserver","",B127,VLOOKUP($J$9,Plan3!$B:$C,2,0))),"")</f>
        <v/>
      </c>
      <c r="K127" s="8" t="str">
        <f>IFERROR(IF(B127="","",RTD("octo.rtdserver","",B127,VLOOKUP($K$9,Plan3!$B:$C,2,0))),"")</f>
        <v/>
      </c>
    </row>
    <row r="128" spans="3:11" x14ac:dyDescent="0.25">
      <c r="C128" s="8" t="str">
        <f>IFERROR(IF(B128="","",RTD("octo.rtdserver","",B128,VLOOKUP($C$9,Plan3!$B:$C,2,0))),"")</f>
        <v/>
      </c>
      <c r="D128" s="8" t="str">
        <f>IFERROR(IF(B128="","",RTD("octo.rtdserver","",B128,VLOOKUP($D$9,Plan3!$B:$C,2,0))),"")</f>
        <v/>
      </c>
      <c r="E128" s="8" t="str">
        <f>IFERROR(IF(B128="","",RTD("octo.rtdserver","",B128,VLOOKUP($E$9,Plan3!$B:$C,2,0))),"")</f>
        <v/>
      </c>
      <c r="F128" s="8" t="str">
        <f>IFERROR(IF(B128="","",RTD("octo.rtdserver","",B128,VLOOKUP($F$9,Plan3!$B:$C,2,0))),"")</f>
        <v/>
      </c>
      <c r="G128" s="8" t="str">
        <f>IFERROR(IF(B128="","",RTD("octo.rtdserver","",B128,VLOOKUP($G$9,Plan3!$B:$C,2,0))),"")</f>
        <v/>
      </c>
      <c r="H128" s="8" t="str">
        <f>IFERROR(IF(B128="","",RTD("octo.rtdserver","",B128,VLOOKUP($H$9,Plan3!$B:$C,2,0))),"")</f>
        <v/>
      </c>
      <c r="I128" s="8" t="str">
        <f>IFERROR(IF(B128="","",RTD("octo.rtdserver","",B128,VLOOKUP($I$9,Plan3!$B:$C,2,0))),"")</f>
        <v/>
      </c>
      <c r="J128" s="8" t="str">
        <f>IFERROR(IF(B128="","",RTD("octo.rtdserver","",B128,VLOOKUP($J$9,Plan3!$B:$C,2,0))),"")</f>
        <v/>
      </c>
      <c r="K128" s="8" t="str">
        <f>IFERROR(IF(B128="","",RTD("octo.rtdserver","",B128,VLOOKUP($K$9,Plan3!$B:$C,2,0))),"")</f>
        <v/>
      </c>
    </row>
    <row r="129" spans="3:11" x14ac:dyDescent="0.25">
      <c r="C129" s="8" t="str">
        <f>IFERROR(IF(B129="","",RTD("octo.rtdserver","",B129,VLOOKUP($C$9,Plan3!$B:$C,2,0))),"")</f>
        <v/>
      </c>
      <c r="D129" s="8" t="str">
        <f>IFERROR(IF(B129="","",RTD("octo.rtdserver","",B129,VLOOKUP($D$9,Plan3!$B:$C,2,0))),"")</f>
        <v/>
      </c>
      <c r="E129" s="8" t="str">
        <f>IFERROR(IF(B129="","",RTD("octo.rtdserver","",B129,VLOOKUP($E$9,Plan3!$B:$C,2,0))),"")</f>
        <v/>
      </c>
      <c r="F129" s="8" t="str">
        <f>IFERROR(IF(B129="","",RTD("octo.rtdserver","",B129,VLOOKUP($F$9,Plan3!$B:$C,2,0))),"")</f>
        <v/>
      </c>
      <c r="G129" s="8" t="str">
        <f>IFERROR(IF(B129="","",RTD("octo.rtdserver","",B129,VLOOKUP($G$9,Plan3!$B:$C,2,0))),"")</f>
        <v/>
      </c>
      <c r="H129" s="8" t="str">
        <f>IFERROR(IF(B129="","",RTD("octo.rtdserver","",B129,VLOOKUP($H$9,Plan3!$B:$C,2,0))),"")</f>
        <v/>
      </c>
      <c r="I129" s="8" t="str">
        <f>IFERROR(IF(B129="","",RTD("octo.rtdserver","",B129,VLOOKUP($I$9,Plan3!$B:$C,2,0))),"")</f>
        <v/>
      </c>
      <c r="J129" s="8" t="str">
        <f>IFERROR(IF(B129="","",RTD("octo.rtdserver","",B129,VLOOKUP($J$9,Plan3!$B:$C,2,0))),"")</f>
        <v/>
      </c>
      <c r="K129" s="8" t="str">
        <f>IFERROR(IF(B129="","",RTD("octo.rtdserver","",B129,VLOOKUP($K$9,Plan3!$B:$C,2,0))),"")</f>
        <v/>
      </c>
    </row>
    <row r="130" spans="3:11" x14ac:dyDescent="0.25">
      <c r="C130" s="8" t="str">
        <f>IFERROR(IF(B130="","",RTD("octo.rtdserver","",B130,VLOOKUP($C$9,Plan3!$B:$C,2,0))),"")</f>
        <v/>
      </c>
      <c r="D130" s="8" t="str">
        <f>IFERROR(IF(B130="","",RTD("octo.rtdserver","",B130,VLOOKUP($D$9,Plan3!$B:$C,2,0))),"")</f>
        <v/>
      </c>
      <c r="E130" s="8" t="str">
        <f>IFERROR(IF(B130="","",RTD("octo.rtdserver","",B130,VLOOKUP($E$9,Plan3!$B:$C,2,0))),"")</f>
        <v/>
      </c>
      <c r="F130" s="8" t="str">
        <f>IFERROR(IF(B130="","",RTD("octo.rtdserver","",B130,VLOOKUP($F$9,Plan3!$B:$C,2,0))),"")</f>
        <v/>
      </c>
      <c r="G130" s="8" t="str">
        <f>IFERROR(IF(B130="","",RTD("octo.rtdserver","",B130,VLOOKUP($G$9,Plan3!$B:$C,2,0))),"")</f>
        <v/>
      </c>
      <c r="H130" s="8" t="str">
        <f>IFERROR(IF(B130="","",RTD("octo.rtdserver","",B130,VLOOKUP($H$9,Plan3!$B:$C,2,0))),"")</f>
        <v/>
      </c>
      <c r="I130" s="8" t="str">
        <f>IFERROR(IF(B130="","",RTD("octo.rtdserver","",B130,VLOOKUP($I$9,Plan3!$B:$C,2,0))),"")</f>
        <v/>
      </c>
      <c r="J130" s="8" t="str">
        <f>IFERROR(IF(B130="","",RTD("octo.rtdserver","",B130,VLOOKUP($J$9,Plan3!$B:$C,2,0))),"")</f>
        <v/>
      </c>
      <c r="K130" s="8" t="str">
        <f>IFERROR(IF(B130="","",RTD("octo.rtdserver","",B130,VLOOKUP($K$9,Plan3!$B:$C,2,0))),"")</f>
        <v/>
      </c>
    </row>
    <row r="131" spans="3:11" x14ac:dyDescent="0.25">
      <c r="C131" s="8" t="str">
        <f>IFERROR(IF(B131="","",RTD("octo.rtdserver","",B131,VLOOKUP($C$9,Plan3!$B:$C,2,0))),"")</f>
        <v/>
      </c>
      <c r="D131" s="8" t="str">
        <f>IFERROR(IF(B131="","",RTD("octo.rtdserver","",B131,VLOOKUP($D$9,Plan3!$B:$C,2,0))),"")</f>
        <v/>
      </c>
      <c r="E131" s="8" t="str">
        <f>IFERROR(IF(B131="","",RTD("octo.rtdserver","",B131,VLOOKUP($E$9,Plan3!$B:$C,2,0))),"")</f>
        <v/>
      </c>
      <c r="F131" s="8" t="str">
        <f>IFERROR(IF(B131="","",RTD("octo.rtdserver","",B131,VLOOKUP($F$9,Plan3!$B:$C,2,0))),"")</f>
        <v/>
      </c>
      <c r="G131" s="8" t="str">
        <f>IFERROR(IF(B131="","",RTD("octo.rtdserver","",B131,VLOOKUP($G$9,Plan3!$B:$C,2,0))),"")</f>
        <v/>
      </c>
      <c r="H131" s="8" t="str">
        <f>IFERROR(IF(B131="","",RTD("octo.rtdserver","",B131,VLOOKUP($H$9,Plan3!$B:$C,2,0))),"")</f>
        <v/>
      </c>
      <c r="I131" s="8" t="str">
        <f>IFERROR(IF(B131="","",RTD("octo.rtdserver","",B131,VLOOKUP($I$9,Plan3!$B:$C,2,0))),"")</f>
        <v/>
      </c>
      <c r="J131" s="8" t="str">
        <f>IFERROR(IF(B131="","",RTD("octo.rtdserver","",B131,VLOOKUP($J$9,Plan3!$B:$C,2,0))),"")</f>
        <v/>
      </c>
      <c r="K131" s="8" t="str">
        <f>IFERROR(IF(B131="","",RTD("octo.rtdserver","",B131,VLOOKUP($K$9,Plan3!$B:$C,2,0))),"")</f>
        <v/>
      </c>
    </row>
    <row r="132" spans="3:11" x14ac:dyDescent="0.25">
      <c r="C132" s="8" t="str">
        <f>IFERROR(IF(B132="","",RTD("octo.rtdserver","",B132,VLOOKUP($C$9,Plan3!$B:$C,2,0))),"")</f>
        <v/>
      </c>
      <c r="D132" s="8" t="str">
        <f>IFERROR(IF(B132="","",RTD("octo.rtdserver","",B132,VLOOKUP($D$9,Plan3!$B:$C,2,0))),"")</f>
        <v/>
      </c>
      <c r="E132" s="8" t="str">
        <f>IFERROR(IF(B132="","",RTD("octo.rtdserver","",B132,VLOOKUP($E$9,Plan3!$B:$C,2,0))),"")</f>
        <v/>
      </c>
      <c r="F132" s="8" t="str">
        <f>IFERROR(IF(B132="","",RTD("octo.rtdserver","",B132,VLOOKUP($F$9,Plan3!$B:$C,2,0))),"")</f>
        <v/>
      </c>
      <c r="G132" s="8" t="str">
        <f>IFERROR(IF(B132="","",RTD("octo.rtdserver","",B132,VLOOKUP($G$9,Plan3!$B:$C,2,0))),"")</f>
        <v/>
      </c>
      <c r="H132" s="8" t="str">
        <f>IFERROR(IF(B132="","",RTD("octo.rtdserver","",B132,VLOOKUP($H$9,Plan3!$B:$C,2,0))),"")</f>
        <v/>
      </c>
      <c r="I132" s="8" t="str">
        <f>IFERROR(IF(B132="","",RTD("octo.rtdserver","",B132,VLOOKUP($I$9,Plan3!$B:$C,2,0))),"")</f>
        <v/>
      </c>
      <c r="J132" s="8" t="str">
        <f>IFERROR(IF(B132="","",RTD("octo.rtdserver","",B132,VLOOKUP($J$9,Plan3!$B:$C,2,0))),"")</f>
        <v/>
      </c>
      <c r="K132" s="8" t="str">
        <f>IFERROR(IF(B132="","",RTD("octo.rtdserver","",B132,VLOOKUP($K$9,Plan3!$B:$C,2,0))),"")</f>
        <v/>
      </c>
    </row>
    <row r="133" spans="3:11" x14ac:dyDescent="0.25">
      <c r="C133" s="8" t="str">
        <f>IFERROR(IF(B133="","",RTD("octo.rtdserver","",B133,VLOOKUP($C$9,Plan3!$B:$C,2,0))),"")</f>
        <v/>
      </c>
      <c r="D133" s="8" t="str">
        <f>IFERROR(IF(B133="","",RTD("octo.rtdserver","",B133,VLOOKUP($D$9,Plan3!$B:$C,2,0))),"")</f>
        <v/>
      </c>
      <c r="E133" s="8" t="str">
        <f>IFERROR(IF(B133="","",RTD("octo.rtdserver","",B133,VLOOKUP($E$9,Plan3!$B:$C,2,0))),"")</f>
        <v/>
      </c>
      <c r="F133" s="8" t="str">
        <f>IFERROR(IF(B133="","",RTD("octo.rtdserver","",B133,VLOOKUP($F$9,Plan3!$B:$C,2,0))),"")</f>
        <v/>
      </c>
      <c r="G133" s="8" t="str">
        <f>IFERROR(IF(B133="","",RTD("octo.rtdserver","",B133,VLOOKUP($G$9,Plan3!$B:$C,2,0))),"")</f>
        <v/>
      </c>
      <c r="H133" s="8" t="str">
        <f>IFERROR(IF(B133="","",RTD("octo.rtdserver","",B133,VLOOKUP($H$9,Plan3!$B:$C,2,0))),"")</f>
        <v/>
      </c>
      <c r="I133" s="8" t="str">
        <f>IFERROR(IF(B133="","",RTD("octo.rtdserver","",B133,VLOOKUP($I$9,Plan3!$B:$C,2,0))),"")</f>
        <v/>
      </c>
      <c r="J133" s="8" t="str">
        <f>IFERROR(IF(B133="","",RTD("octo.rtdserver","",B133,VLOOKUP($J$9,Plan3!$B:$C,2,0))),"")</f>
        <v/>
      </c>
      <c r="K133" s="8" t="str">
        <f>IFERROR(IF(B133="","",RTD("octo.rtdserver","",B133,VLOOKUP($K$9,Plan3!$B:$C,2,0))),"")</f>
        <v/>
      </c>
    </row>
    <row r="134" spans="3:11" x14ac:dyDescent="0.25">
      <c r="C134" s="8" t="str">
        <f>IFERROR(IF(B134="","",RTD("octo.rtdserver","",B134,VLOOKUP($C$9,Plan3!$B:$C,2,0))),"")</f>
        <v/>
      </c>
      <c r="D134" s="8" t="str">
        <f>IFERROR(IF(B134="","",RTD("octo.rtdserver","",B134,VLOOKUP($D$9,Plan3!$B:$C,2,0))),"")</f>
        <v/>
      </c>
      <c r="E134" s="8" t="str">
        <f>IFERROR(IF(B134="","",RTD("octo.rtdserver","",B134,VLOOKUP($E$9,Plan3!$B:$C,2,0))),"")</f>
        <v/>
      </c>
      <c r="F134" s="8" t="str">
        <f>IFERROR(IF(B134="","",RTD("octo.rtdserver","",B134,VLOOKUP($F$9,Plan3!$B:$C,2,0))),"")</f>
        <v/>
      </c>
      <c r="G134" s="8" t="str">
        <f>IFERROR(IF(B134="","",RTD("octo.rtdserver","",B134,VLOOKUP($G$9,Plan3!$B:$C,2,0))),"")</f>
        <v/>
      </c>
      <c r="H134" s="8" t="str">
        <f>IFERROR(IF(B134="","",RTD("octo.rtdserver","",B134,VLOOKUP($H$9,Plan3!$B:$C,2,0))),"")</f>
        <v/>
      </c>
      <c r="I134" s="8" t="str">
        <f>IFERROR(IF(B134="","",RTD("octo.rtdserver","",B134,VLOOKUP($I$9,Plan3!$B:$C,2,0))),"")</f>
        <v/>
      </c>
      <c r="J134" s="8" t="str">
        <f>IFERROR(IF(B134="","",RTD("octo.rtdserver","",B134,VLOOKUP($J$9,Plan3!$B:$C,2,0))),"")</f>
        <v/>
      </c>
      <c r="K134" s="8" t="str">
        <f>IFERROR(IF(B134="","",RTD("octo.rtdserver","",B134,VLOOKUP($K$9,Plan3!$B:$C,2,0))),"")</f>
        <v/>
      </c>
    </row>
    <row r="135" spans="3:11" x14ac:dyDescent="0.25">
      <c r="C135" s="8" t="str">
        <f>IFERROR(IF(B135="","",RTD("octo.rtdserver","",B135,VLOOKUP($C$9,Plan3!$B:$C,2,0))),"")</f>
        <v/>
      </c>
      <c r="D135" s="8" t="str">
        <f>IFERROR(IF(B135="","",RTD("octo.rtdserver","",B135,VLOOKUP($D$9,Plan3!$B:$C,2,0))),"")</f>
        <v/>
      </c>
      <c r="E135" s="8" t="str">
        <f>IFERROR(IF(B135="","",RTD("octo.rtdserver","",B135,VLOOKUP($E$9,Plan3!$B:$C,2,0))),"")</f>
        <v/>
      </c>
      <c r="F135" s="8" t="str">
        <f>IFERROR(IF(B135="","",RTD("octo.rtdserver","",B135,VLOOKUP($F$9,Plan3!$B:$C,2,0))),"")</f>
        <v/>
      </c>
      <c r="G135" s="8" t="str">
        <f>IFERROR(IF(B135="","",RTD("octo.rtdserver","",B135,VLOOKUP($G$9,Plan3!$B:$C,2,0))),"")</f>
        <v/>
      </c>
      <c r="H135" s="8" t="str">
        <f>IFERROR(IF(B135="","",RTD("octo.rtdserver","",B135,VLOOKUP($H$9,Plan3!$B:$C,2,0))),"")</f>
        <v/>
      </c>
      <c r="I135" s="8" t="str">
        <f>IFERROR(IF(B135="","",RTD("octo.rtdserver","",B135,VLOOKUP($I$9,Plan3!$B:$C,2,0))),"")</f>
        <v/>
      </c>
      <c r="J135" s="8" t="str">
        <f>IFERROR(IF(B135="","",RTD("octo.rtdserver","",B135,VLOOKUP($J$9,Plan3!$B:$C,2,0))),"")</f>
        <v/>
      </c>
      <c r="K135" s="8" t="str">
        <f>IFERROR(IF(B135="","",RTD("octo.rtdserver","",B135,VLOOKUP($K$9,Plan3!$B:$C,2,0))),"")</f>
        <v/>
      </c>
    </row>
    <row r="136" spans="3:11" x14ac:dyDescent="0.25">
      <c r="C136" s="8" t="str">
        <f>IFERROR(IF(B136="","",RTD("octo.rtdserver","",B136,VLOOKUP($C$9,Plan3!$B:$C,2,0))),"")</f>
        <v/>
      </c>
      <c r="D136" s="8" t="str">
        <f>IFERROR(IF(B136="","",RTD("octo.rtdserver","",B136,VLOOKUP($D$9,Plan3!$B:$C,2,0))),"")</f>
        <v/>
      </c>
      <c r="E136" s="8" t="str">
        <f>IFERROR(IF(B136="","",RTD("octo.rtdserver","",B136,VLOOKUP($E$9,Plan3!$B:$C,2,0))),"")</f>
        <v/>
      </c>
      <c r="F136" s="8" t="str">
        <f>IFERROR(IF(B136="","",RTD("octo.rtdserver","",B136,VLOOKUP($F$9,Plan3!$B:$C,2,0))),"")</f>
        <v/>
      </c>
      <c r="G136" s="8" t="str">
        <f>IFERROR(IF(B136="","",RTD("octo.rtdserver","",B136,VLOOKUP($G$9,Plan3!$B:$C,2,0))),"")</f>
        <v/>
      </c>
      <c r="H136" s="8" t="str">
        <f>IFERROR(IF(B136="","",RTD("octo.rtdserver","",B136,VLOOKUP($H$9,Plan3!$B:$C,2,0))),"")</f>
        <v/>
      </c>
      <c r="I136" s="8" t="str">
        <f>IFERROR(IF(B136="","",RTD("octo.rtdserver","",B136,VLOOKUP($I$9,Plan3!$B:$C,2,0))),"")</f>
        <v/>
      </c>
      <c r="J136" s="8" t="str">
        <f>IFERROR(IF(B136="","",RTD("octo.rtdserver","",B136,VLOOKUP($J$9,Plan3!$B:$C,2,0))),"")</f>
        <v/>
      </c>
      <c r="K136" s="8" t="str">
        <f>IFERROR(IF(B136="","",RTD("octo.rtdserver","",B136,VLOOKUP($K$9,Plan3!$B:$C,2,0))),"")</f>
        <v/>
      </c>
    </row>
    <row r="137" spans="3:11" x14ac:dyDescent="0.25">
      <c r="C137" s="8" t="str">
        <f>IFERROR(IF(B137="","",RTD("octo.rtdserver","",B137,VLOOKUP($C$9,Plan3!$B:$C,2,0))),"")</f>
        <v/>
      </c>
      <c r="D137" s="8" t="str">
        <f>IFERROR(IF(B137="","",RTD("octo.rtdserver","",B137,VLOOKUP($D$9,Plan3!$B:$C,2,0))),"")</f>
        <v/>
      </c>
      <c r="E137" s="8" t="str">
        <f>IFERROR(IF(B137="","",RTD("octo.rtdserver","",B137,VLOOKUP($E$9,Plan3!$B:$C,2,0))),"")</f>
        <v/>
      </c>
      <c r="F137" s="8" t="str">
        <f>IFERROR(IF(B137="","",RTD("octo.rtdserver","",B137,VLOOKUP($F$9,Plan3!$B:$C,2,0))),"")</f>
        <v/>
      </c>
      <c r="G137" s="8" t="str">
        <f>IFERROR(IF(B137="","",RTD("octo.rtdserver","",B137,VLOOKUP($G$9,Plan3!$B:$C,2,0))),"")</f>
        <v/>
      </c>
      <c r="H137" s="8" t="str">
        <f>IFERROR(IF(B137="","",RTD("octo.rtdserver","",B137,VLOOKUP($H$9,Plan3!$B:$C,2,0))),"")</f>
        <v/>
      </c>
      <c r="I137" s="8" t="str">
        <f>IFERROR(IF(B137="","",RTD("octo.rtdserver","",B137,VLOOKUP($I$9,Plan3!$B:$C,2,0))),"")</f>
        <v/>
      </c>
      <c r="J137" s="8" t="str">
        <f>IFERROR(IF(B137="","",RTD("octo.rtdserver","",B137,VLOOKUP($J$9,Plan3!$B:$C,2,0))),"")</f>
        <v/>
      </c>
      <c r="K137" s="8" t="str">
        <f>IFERROR(IF(B137="","",RTD("octo.rtdserver","",B137,VLOOKUP($K$9,Plan3!$B:$C,2,0))),"")</f>
        <v/>
      </c>
    </row>
    <row r="138" spans="3:11" x14ac:dyDescent="0.25">
      <c r="C138" s="8" t="str">
        <f>IFERROR(IF(B138="","",RTD("octo.rtdserver","",B138,VLOOKUP($C$9,Plan3!$B:$C,2,0))),"")</f>
        <v/>
      </c>
      <c r="D138" s="8" t="str">
        <f>IFERROR(IF(B138="","",RTD("octo.rtdserver","",B138,VLOOKUP($D$9,Plan3!$B:$C,2,0))),"")</f>
        <v/>
      </c>
      <c r="E138" s="8" t="str">
        <f>IFERROR(IF(B138="","",RTD("octo.rtdserver","",B138,VLOOKUP($E$9,Plan3!$B:$C,2,0))),"")</f>
        <v/>
      </c>
      <c r="F138" s="8" t="str">
        <f>IFERROR(IF(B138="","",RTD("octo.rtdserver","",B138,VLOOKUP($F$9,Plan3!$B:$C,2,0))),"")</f>
        <v/>
      </c>
      <c r="G138" s="8" t="str">
        <f>IFERROR(IF(B138="","",RTD("octo.rtdserver","",B138,VLOOKUP($G$9,Plan3!$B:$C,2,0))),"")</f>
        <v/>
      </c>
      <c r="H138" s="8" t="str">
        <f>IFERROR(IF(B138="","",RTD("octo.rtdserver","",B138,VLOOKUP($H$9,Plan3!$B:$C,2,0))),"")</f>
        <v/>
      </c>
      <c r="I138" s="8" t="str">
        <f>IFERROR(IF(B138="","",RTD("octo.rtdserver","",B138,VLOOKUP($I$9,Plan3!$B:$C,2,0))),"")</f>
        <v/>
      </c>
      <c r="J138" s="8" t="str">
        <f>IFERROR(IF(B138="","",RTD("octo.rtdserver","",B138,VLOOKUP($J$9,Plan3!$B:$C,2,0))),"")</f>
        <v/>
      </c>
      <c r="K138" s="8" t="str">
        <f>IFERROR(IF(B138="","",RTD("octo.rtdserver","",B138,VLOOKUP($K$9,Plan3!$B:$C,2,0))),"")</f>
        <v/>
      </c>
    </row>
    <row r="139" spans="3:11" x14ac:dyDescent="0.25">
      <c r="C139" s="8" t="str">
        <f>IFERROR(IF(B139="","",RTD("octo.rtdserver","",B139,VLOOKUP($C$9,Plan3!$B:$C,2,0))),"")</f>
        <v/>
      </c>
      <c r="D139" s="8" t="str">
        <f>IFERROR(IF(B139="","",RTD("octo.rtdserver","",B139,VLOOKUP($D$9,Plan3!$B:$C,2,0))),"")</f>
        <v/>
      </c>
      <c r="E139" s="8" t="str">
        <f>IFERROR(IF(B139="","",RTD("octo.rtdserver","",B139,VLOOKUP($E$9,Plan3!$B:$C,2,0))),"")</f>
        <v/>
      </c>
      <c r="F139" s="8" t="str">
        <f>IFERROR(IF(B139="","",RTD("octo.rtdserver","",B139,VLOOKUP($F$9,Plan3!$B:$C,2,0))),"")</f>
        <v/>
      </c>
      <c r="G139" s="8" t="str">
        <f>IFERROR(IF(B139="","",RTD("octo.rtdserver","",B139,VLOOKUP($G$9,Plan3!$B:$C,2,0))),"")</f>
        <v/>
      </c>
      <c r="H139" s="8" t="str">
        <f>IFERROR(IF(B139="","",RTD("octo.rtdserver","",B139,VLOOKUP($H$9,Plan3!$B:$C,2,0))),"")</f>
        <v/>
      </c>
      <c r="I139" s="8" t="str">
        <f>IFERROR(IF(B139="","",RTD("octo.rtdserver","",B139,VLOOKUP($I$9,Plan3!$B:$C,2,0))),"")</f>
        <v/>
      </c>
      <c r="J139" s="8" t="str">
        <f>IFERROR(IF(B139="","",RTD("octo.rtdserver","",B139,VLOOKUP($J$9,Plan3!$B:$C,2,0))),"")</f>
        <v/>
      </c>
      <c r="K139" s="8" t="str">
        <f>IFERROR(IF(B139="","",RTD("octo.rtdserver","",B139,VLOOKUP($K$9,Plan3!$B:$C,2,0))),"")</f>
        <v/>
      </c>
    </row>
    <row r="140" spans="3:11" x14ac:dyDescent="0.25">
      <c r="C140" s="8" t="str">
        <f>IFERROR(IF(B140="","",RTD("octo.rtdserver","",B140,VLOOKUP($C$9,Plan3!$B:$C,2,0))),"")</f>
        <v/>
      </c>
      <c r="D140" s="8" t="str">
        <f>IFERROR(IF(B140="","",RTD("octo.rtdserver","",B140,VLOOKUP($D$9,Plan3!$B:$C,2,0))),"")</f>
        <v/>
      </c>
      <c r="E140" s="8" t="str">
        <f>IFERROR(IF(B140="","",RTD("octo.rtdserver","",B140,VLOOKUP($E$9,Plan3!$B:$C,2,0))),"")</f>
        <v/>
      </c>
      <c r="F140" s="8" t="str">
        <f>IFERROR(IF(B140="","",RTD("octo.rtdserver","",B140,VLOOKUP($F$9,Plan3!$B:$C,2,0))),"")</f>
        <v/>
      </c>
      <c r="G140" s="8" t="str">
        <f>IFERROR(IF(B140="","",RTD("octo.rtdserver","",B140,VLOOKUP($G$9,Plan3!$B:$C,2,0))),"")</f>
        <v/>
      </c>
      <c r="H140" s="8" t="str">
        <f>IFERROR(IF(B140="","",RTD("octo.rtdserver","",B140,VLOOKUP($H$9,Plan3!$B:$C,2,0))),"")</f>
        <v/>
      </c>
      <c r="I140" s="8" t="str">
        <f>IFERROR(IF(B140="","",RTD("octo.rtdserver","",B140,VLOOKUP($I$9,Plan3!$B:$C,2,0))),"")</f>
        <v/>
      </c>
      <c r="J140" s="8" t="str">
        <f>IFERROR(IF(B140="","",RTD("octo.rtdserver","",B140,VLOOKUP($J$9,Plan3!$B:$C,2,0))),"")</f>
        <v/>
      </c>
      <c r="K140" s="8" t="str">
        <f>IFERROR(IF(B140="","",RTD("octo.rtdserver","",B140,VLOOKUP($K$9,Plan3!$B:$C,2,0))),"")</f>
        <v/>
      </c>
    </row>
    <row r="141" spans="3:11" x14ac:dyDescent="0.25">
      <c r="C141" s="8" t="str">
        <f>IFERROR(IF(B141="","",RTD("octo.rtdserver","",B141,VLOOKUP($C$9,Plan3!$B:$C,2,0))),"")</f>
        <v/>
      </c>
      <c r="D141" s="8" t="str">
        <f>IFERROR(IF(B141="","",RTD("octo.rtdserver","",B141,VLOOKUP($D$9,Plan3!$B:$C,2,0))),"")</f>
        <v/>
      </c>
      <c r="E141" s="8" t="str">
        <f>IFERROR(IF(B141="","",RTD("octo.rtdserver","",B141,VLOOKUP($E$9,Plan3!$B:$C,2,0))),"")</f>
        <v/>
      </c>
      <c r="F141" s="8" t="str">
        <f>IFERROR(IF(B141="","",RTD("octo.rtdserver","",B141,VLOOKUP($F$9,Plan3!$B:$C,2,0))),"")</f>
        <v/>
      </c>
      <c r="G141" s="8" t="str">
        <f>IFERROR(IF(B141="","",RTD("octo.rtdserver","",B141,VLOOKUP($G$9,Plan3!$B:$C,2,0))),"")</f>
        <v/>
      </c>
      <c r="H141" s="8" t="str">
        <f>IFERROR(IF(B141="","",RTD("octo.rtdserver","",B141,VLOOKUP($H$9,Plan3!$B:$C,2,0))),"")</f>
        <v/>
      </c>
      <c r="I141" s="8" t="str">
        <f>IFERROR(IF(B141="","",RTD("octo.rtdserver","",B141,VLOOKUP($I$9,Plan3!$B:$C,2,0))),"")</f>
        <v/>
      </c>
      <c r="J141" s="8" t="str">
        <f>IFERROR(IF(B141="","",RTD("octo.rtdserver","",B141,VLOOKUP($J$9,Plan3!$B:$C,2,0))),"")</f>
        <v/>
      </c>
      <c r="K141" s="8" t="str">
        <f>IFERROR(IF(B141="","",RTD("octo.rtdserver","",B141,VLOOKUP($K$9,Plan3!$B:$C,2,0))),"")</f>
        <v/>
      </c>
    </row>
    <row r="142" spans="3:11" x14ac:dyDescent="0.25">
      <c r="C142" s="8" t="str">
        <f>IFERROR(IF(B142="","",RTD("octo.rtdserver","",B142,VLOOKUP($C$9,Plan3!$B:$C,2,0))),"")</f>
        <v/>
      </c>
      <c r="D142" s="8" t="str">
        <f>IFERROR(IF(B142="","",RTD("octo.rtdserver","",B142,VLOOKUP($D$9,Plan3!$B:$C,2,0))),"")</f>
        <v/>
      </c>
      <c r="E142" s="8" t="str">
        <f>IFERROR(IF(B142="","",RTD("octo.rtdserver","",B142,VLOOKUP($E$9,Plan3!$B:$C,2,0))),"")</f>
        <v/>
      </c>
      <c r="F142" s="8" t="str">
        <f>IFERROR(IF(B142="","",RTD("octo.rtdserver","",B142,VLOOKUP($F$9,Plan3!$B:$C,2,0))),"")</f>
        <v/>
      </c>
      <c r="G142" s="8" t="str">
        <f>IFERROR(IF(B142="","",RTD("octo.rtdserver","",B142,VLOOKUP($G$9,Plan3!$B:$C,2,0))),"")</f>
        <v/>
      </c>
      <c r="H142" s="8" t="str">
        <f>IFERROR(IF(B142="","",RTD("octo.rtdserver","",B142,VLOOKUP($H$9,Plan3!$B:$C,2,0))),"")</f>
        <v/>
      </c>
      <c r="I142" s="8" t="str">
        <f>IFERROR(IF(B142="","",RTD("octo.rtdserver","",B142,VLOOKUP($I$9,Plan3!$B:$C,2,0))),"")</f>
        <v/>
      </c>
      <c r="J142" s="8" t="str">
        <f>IFERROR(IF(B142="","",RTD("octo.rtdserver","",B142,VLOOKUP($J$9,Plan3!$B:$C,2,0))),"")</f>
        <v/>
      </c>
      <c r="K142" s="8" t="str">
        <f>IFERROR(IF(B142="","",RTD("octo.rtdserver","",B142,VLOOKUP($K$9,Plan3!$B:$C,2,0))),"")</f>
        <v/>
      </c>
    </row>
    <row r="143" spans="3:11" x14ac:dyDescent="0.25">
      <c r="C143" s="8" t="str">
        <f>IF(B143="","",RTD("octo.rtdserver","",B143,VLOOKUP($C$9,Plan3!$B:$C,2,0)))</f>
        <v/>
      </c>
      <c r="D143" s="8" t="str">
        <f>IF(B143="","",RTD("octo.rtdserver","",B143,VLOOKUP($D$9,Plan3!B:C,2,0)))</f>
        <v/>
      </c>
    </row>
    <row r="144" spans="3:11" x14ac:dyDescent="0.25">
      <c r="C144" s="8" t="str">
        <f>IF(B144="","",RTD("octo.rtdserver","",B144,VLOOKUP($C$9,Plan3!$B:$C,2,0)))</f>
        <v/>
      </c>
      <c r="D144" s="8" t="str">
        <f>IF(B144="","",RTD("octo.rtdserver","",B144,VLOOKUP($D$9,Plan3!B:C,2,0)))</f>
        <v/>
      </c>
    </row>
    <row r="145" spans="3:4" x14ac:dyDescent="0.25">
      <c r="C145" s="8" t="str">
        <f>IF(B145="","",RTD("octo.rtdserver","",B145,VLOOKUP($C$9,Plan3!$B:$C,2,0)))</f>
        <v/>
      </c>
      <c r="D145" s="8" t="str">
        <f>IF(B145="","",RTD("octo.rtdserver","",B145,VLOOKUP($D$9,Plan3!B:C,2,0)))</f>
        <v/>
      </c>
    </row>
    <row r="146" spans="3:4" x14ac:dyDescent="0.25">
      <c r="C146" s="8" t="str">
        <f>IF(B146="","",RTD("octo.rtdserver","",B146,VLOOKUP($C$9,Plan3!$B:$C,2,0)))</f>
        <v/>
      </c>
      <c r="D146" s="8" t="str">
        <f>IF(B146="","",RTD("octo.rtdserver","",B146,VLOOKUP($D$9,Plan3!B:C,2,0)))</f>
        <v/>
      </c>
    </row>
    <row r="147" spans="3:4" x14ac:dyDescent="0.25">
      <c r="C147" s="8" t="str">
        <f>IF(B147="","",RTD("octo.rtdserver","",B147,VLOOKUP($C$9,Plan3!$B:$C,2,0)))</f>
        <v/>
      </c>
      <c r="D147" s="8" t="str">
        <f>IF(B147="","",RTD("octo.rtdserver","",B147,VLOOKUP($D$9,Plan3!B:C,2,0)))</f>
        <v/>
      </c>
    </row>
    <row r="148" spans="3:4" x14ac:dyDescent="0.25">
      <c r="C148" s="8" t="str">
        <f>IF(B148="","",RTD("octo.rtdserver","",B148,VLOOKUP($C$9,Plan3!$B:$C,2,0)))</f>
        <v/>
      </c>
      <c r="D148" s="8" t="str">
        <f>IF(B148="","",RTD("octo.rtdserver","",B148,VLOOKUP($D$9,Plan3!B:C,2,0)))</f>
        <v/>
      </c>
    </row>
    <row r="149" spans="3:4" x14ac:dyDescent="0.25">
      <c r="C149" s="8" t="str">
        <f>IF(B149="","",RTD("octo.rtdserver","",B149,VLOOKUP($C$9,Plan3!$B:$C,2,0)))</f>
        <v/>
      </c>
      <c r="D149" s="8" t="str">
        <f>IF(B149="","",RTD("octo.rtdserver","",B149,VLOOKUP($D$9,Plan3!B:C,2,0)))</f>
        <v/>
      </c>
    </row>
    <row r="150" spans="3:4" x14ac:dyDescent="0.25">
      <c r="C150" s="8" t="str">
        <f>IF(B150="","",RTD("octo.rtdserver","",B150,VLOOKUP($C$9,Plan3!$B:$C,2,0)))</f>
        <v/>
      </c>
      <c r="D150" s="8" t="str">
        <f>IF(B150="","",RTD("octo.rtdserver","",B150,VLOOKUP($D$9,Plan3!B:C,2,0)))</f>
        <v/>
      </c>
    </row>
    <row r="151" spans="3:4" x14ac:dyDescent="0.25">
      <c r="C151" s="8" t="str">
        <f>IF(B151="","",RTD("octo.rtdserver","",B151,VLOOKUP($C$9,Plan3!$B:$C,2,0)))</f>
        <v/>
      </c>
      <c r="D151" s="8" t="str">
        <f>IF(B151="","",RTD("octo.rtdserver","",B151,VLOOKUP($D$9,Plan3!B:C,2,0)))</f>
        <v/>
      </c>
    </row>
    <row r="152" spans="3:4" x14ac:dyDescent="0.25">
      <c r="C152" s="8" t="str">
        <f>IF(B152="","",RTD("octo.rtdserver","",B152,VLOOKUP($C$9,Plan3!$B:$C,2,0)))</f>
        <v/>
      </c>
      <c r="D152" s="8" t="str">
        <f>IF(B152="","",RTD("octo.rtdserver","",B152,VLOOKUP($D$9,Plan3!B:C,2,0)))</f>
        <v/>
      </c>
    </row>
    <row r="153" spans="3:4" x14ac:dyDescent="0.25">
      <c r="C153" s="8" t="str">
        <f>IF(B153="","",RTD("octo.rtdserver","",B153,VLOOKUP($C$9,Plan3!$B:$C,2,0)))</f>
        <v/>
      </c>
      <c r="D153" s="8" t="str">
        <f>IF(B153="","",RTD("octo.rtdserver","",B153,VLOOKUP($D$9,Plan3!B:C,2,0)))</f>
        <v/>
      </c>
    </row>
    <row r="154" spans="3:4" x14ac:dyDescent="0.25">
      <c r="C154" s="8" t="str">
        <f>IF(B154="","",RTD("octo.rtdserver","",B154,VLOOKUP($C$9,Plan3!$B:$C,2,0)))</f>
        <v/>
      </c>
      <c r="D154" s="8" t="str">
        <f>IF(B154="","",RTD("octo.rtdserver","",B154,VLOOKUP($D$9,Plan3!B:C,2,0)))</f>
        <v/>
      </c>
    </row>
    <row r="155" spans="3:4" x14ac:dyDescent="0.25">
      <c r="C155" s="8" t="str">
        <f>IF(B155="","",RTD("octo.rtdserver","",B155,VLOOKUP($C$9,Plan3!$B:$C,2,0)))</f>
        <v/>
      </c>
      <c r="D155" s="8" t="str">
        <f>IF(B155="","",RTD("octo.rtdserver","",B155,VLOOKUP($D$9,Plan3!B:C,2,0)))</f>
        <v/>
      </c>
    </row>
    <row r="156" spans="3:4" x14ac:dyDescent="0.25">
      <c r="C156" s="8" t="str">
        <f>IF(B156="","",RTD("octo.rtdserver","",B156,VLOOKUP($C$9,Plan3!$B:$C,2,0)))</f>
        <v/>
      </c>
      <c r="D156" s="8" t="str">
        <f>IF(B156="","",RTD("octo.rtdserver","",B156,VLOOKUP($D$9,Plan3!B:C,2,0)))</f>
        <v/>
      </c>
    </row>
    <row r="157" spans="3:4" x14ac:dyDescent="0.25">
      <c r="C157" s="8" t="str">
        <f>IF(B157="","",RTD("octo.rtdserver","",B157,VLOOKUP($C$9,Plan3!$B:$C,2,0)))</f>
        <v/>
      </c>
      <c r="D157" s="8" t="str">
        <f>IF(B157="","",RTD("octo.rtdserver","",B157,VLOOKUP($D$9,Plan3!B:C,2,0)))</f>
        <v/>
      </c>
    </row>
    <row r="158" spans="3:4" x14ac:dyDescent="0.25">
      <c r="C158" s="8" t="str">
        <f>IF(B158="","",RTD("octo.rtdserver","",B158,VLOOKUP($C$9,Plan3!$B:$C,2,0)))</f>
        <v/>
      </c>
      <c r="D158" s="8" t="str">
        <f>IF(B158="","",RTD("octo.rtdserver","",B158,VLOOKUP($D$9,Plan3!B:C,2,0)))</f>
        <v/>
      </c>
    </row>
    <row r="159" spans="3:4" x14ac:dyDescent="0.25">
      <c r="C159" s="8" t="str">
        <f>IF(B159="","",RTD("octo.rtdserver","",B159,VLOOKUP($C$9,Plan3!$B:$C,2,0)))</f>
        <v/>
      </c>
      <c r="D159" s="8" t="str">
        <f>IF(B159="","",RTD("octo.rtdserver","",B159,VLOOKUP($D$9,Plan3!B:C,2,0)))</f>
        <v/>
      </c>
    </row>
    <row r="160" spans="3:4" x14ac:dyDescent="0.25">
      <c r="C160" s="8" t="str">
        <f>IF(B160="","",RTD("octo.rtdserver","",B160,VLOOKUP($C$9,Plan3!$B:$C,2,0)))</f>
        <v/>
      </c>
      <c r="D160" s="8" t="str">
        <f>IF(B160="","",RTD("octo.rtdserver","",B160,VLOOKUP($D$9,Plan3!B:C,2,0)))</f>
        <v/>
      </c>
    </row>
    <row r="161" spans="3:4" x14ac:dyDescent="0.25">
      <c r="C161" s="8" t="str">
        <f>IF(B161="","",RTD("octo.rtdserver","",B161,VLOOKUP($C$9,Plan3!$B:$C,2,0)))</f>
        <v/>
      </c>
      <c r="D161" s="8" t="str">
        <f>IF(B161="","",RTD("octo.rtdserver","",B161,VLOOKUP($D$9,Plan3!B:C,2,0)))</f>
        <v/>
      </c>
    </row>
    <row r="162" spans="3:4" x14ac:dyDescent="0.25">
      <c r="C162" s="8" t="str">
        <f>IF(B162="","",RTD("octo.rtdserver","",B162,VLOOKUP($C$9,Plan3!$B:$C,2,0)))</f>
        <v/>
      </c>
      <c r="D162" s="8" t="str">
        <f>IF(B162="","",RTD("octo.rtdserver","",B162,VLOOKUP($D$9,Plan3!B:C,2,0)))</f>
        <v/>
      </c>
    </row>
    <row r="163" spans="3:4" x14ac:dyDescent="0.25">
      <c r="C163" s="8" t="str">
        <f>IF(B163="","",RTD("octo.rtdserver","",B163,VLOOKUP($C$9,Plan3!$B:$C,2,0)))</f>
        <v/>
      </c>
      <c r="D163" s="8" t="str">
        <f>IF(B163="","",RTD("octo.rtdserver","",B163,VLOOKUP($D$9,Plan3!B:C,2,0)))</f>
        <v/>
      </c>
    </row>
    <row r="164" spans="3:4" x14ac:dyDescent="0.25">
      <c r="C164" s="8" t="str">
        <f>IF(B164="","",RTD("octo.rtdserver","",B164,VLOOKUP($C$9,Plan3!$B:$C,2,0)))</f>
        <v/>
      </c>
      <c r="D164" s="8" t="str">
        <f>IF(B164="","",RTD("octo.rtdserver","",B164,VLOOKUP($D$9,Plan3!B:C,2,0)))</f>
        <v/>
      </c>
    </row>
    <row r="165" spans="3:4" x14ac:dyDescent="0.25">
      <c r="C165" s="8" t="str">
        <f>IF(B165="","",RTD("octo.rtdserver","",B165,VLOOKUP($C$9,Plan3!$B:$C,2,0)))</f>
        <v/>
      </c>
      <c r="D165" s="8" t="str">
        <f>IF(B165="","",RTD("octo.rtdserver","",B165,VLOOKUP($D$9,Plan3!B:C,2,0)))</f>
        <v/>
      </c>
    </row>
    <row r="166" spans="3:4" x14ac:dyDescent="0.25">
      <c r="C166" s="8" t="str">
        <f>IF(B166="","",RTD("octo.rtdserver","",B166,VLOOKUP($C$9,Plan3!$B:$C,2,0)))</f>
        <v/>
      </c>
      <c r="D166" s="8" t="str">
        <f>IF(B166="","",RTD("octo.rtdserver","",B166,VLOOKUP($D$9,Plan3!B:C,2,0)))</f>
        <v/>
      </c>
    </row>
    <row r="167" spans="3:4" x14ac:dyDescent="0.25">
      <c r="C167" s="8" t="str">
        <f>IF(B167="","",RTD("octo.rtdserver","",B167,VLOOKUP($C$9,Plan3!$B:$C,2,0)))</f>
        <v/>
      </c>
      <c r="D167" s="8" t="str">
        <f>IF(B167="","",RTD("octo.rtdserver","",B167,VLOOKUP($D$9,Plan3!B:C,2,0)))</f>
        <v/>
      </c>
    </row>
    <row r="168" spans="3:4" x14ac:dyDescent="0.25">
      <c r="C168" s="8" t="str">
        <f>IF(B168="","",RTD("octo.rtdserver","",B168,VLOOKUP($C$9,Plan3!$B:$C,2,0)))</f>
        <v/>
      </c>
      <c r="D168" s="8" t="str">
        <f>IF(B168="","",RTD("octo.rtdserver","",B168,VLOOKUP($D$9,Plan3!B:C,2,0)))</f>
        <v/>
      </c>
    </row>
    <row r="169" spans="3:4" x14ac:dyDescent="0.25">
      <c r="C169" s="8" t="str">
        <f>IF(B169="","",RTD("octo.rtdserver","",B169,VLOOKUP($C$9,Plan3!$B:$C,2,0)))</f>
        <v/>
      </c>
      <c r="D169" s="8" t="str">
        <f>IF(B169="","",RTD("octo.rtdserver","",B169,VLOOKUP($D$9,Plan3!B:C,2,0)))</f>
        <v/>
      </c>
    </row>
    <row r="170" spans="3:4" x14ac:dyDescent="0.25">
      <c r="C170" s="8" t="str">
        <f>IF(B170="","",RTD("octo.rtdserver","",B170,VLOOKUP($C$9,Plan3!$B:$C,2,0)))</f>
        <v/>
      </c>
      <c r="D170" s="8" t="str">
        <f>IF(B170="","",RTD("octo.rtdserver","",B170,VLOOKUP($D$9,Plan3!B:C,2,0)))</f>
        <v/>
      </c>
    </row>
    <row r="171" spans="3:4" x14ac:dyDescent="0.25">
      <c r="C171" s="8" t="str">
        <f>IF(B171="","",RTD("octo.rtdserver","",B171,VLOOKUP($C$9,Plan3!$B:$C,2,0)))</f>
        <v/>
      </c>
      <c r="D171" s="8" t="str">
        <f>IF(B171="","",RTD("octo.rtdserver","",B171,VLOOKUP($D$9,Plan3!B:C,2,0)))</f>
        <v/>
      </c>
    </row>
    <row r="172" spans="3:4" x14ac:dyDescent="0.25">
      <c r="C172" s="8" t="str">
        <f>IF(B172="","",RTD("octo.rtdserver","",B172,VLOOKUP($C$9,Plan3!$B:$C,2,0)))</f>
        <v/>
      </c>
      <c r="D172" s="8" t="str">
        <f>IF(B172="","",RTD("octo.rtdserver","",B172,VLOOKUP($D$9,Plan3!B:C,2,0)))</f>
        <v/>
      </c>
    </row>
    <row r="173" spans="3:4" x14ac:dyDescent="0.25">
      <c r="C173" s="8" t="str">
        <f>IF(B173="","",RTD("octo.rtdserver","",B173,VLOOKUP($C$9,Plan3!$B:$C,2,0)))</f>
        <v/>
      </c>
      <c r="D173" s="8" t="str">
        <f>IF(B173="","",RTD("octo.rtdserver","",B173,VLOOKUP($D$9,Plan3!B:C,2,0)))</f>
        <v/>
      </c>
    </row>
    <row r="174" spans="3:4" x14ac:dyDescent="0.25">
      <c r="C174" s="8" t="str">
        <f>IF(B174="","",RTD("octo.rtdserver","",B174,VLOOKUP($C$9,Plan3!$B:$C,2,0)))</f>
        <v/>
      </c>
      <c r="D174" s="8" t="str">
        <f>IF(B174="","",RTD("octo.rtdserver","",B174,VLOOKUP($D$9,Plan3!B:C,2,0)))</f>
        <v/>
      </c>
    </row>
    <row r="175" spans="3:4" x14ac:dyDescent="0.25">
      <c r="C175" s="8" t="str">
        <f>IF(B175="","",RTD("octo.rtdserver","",B175,VLOOKUP($C$9,Plan3!$B:$C,2,0)))</f>
        <v/>
      </c>
      <c r="D175" s="8" t="str">
        <f>IF(B175="","",RTD("octo.rtdserver","",B175,VLOOKUP($D$9,Plan3!B:C,2,0)))</f>
        <v/>
      </c>
    </row>
    <row r="176" spans="3:4" x14ac:dyDescent="0.25">
      <c r="C176" s="8" t="str">
        <f>IF(B176="","",RTD("octo.rtdserver","",B176,VLOOKUP($C$9,Plan3!$B:$C,2,0)))</f>
        <v/>
      </c>
      <c r="D176" s="8" t="str">
        <f>IF(B176="","",RTD("octo.rtdserver","",B176,VLOOKUP($D$9,Plan3!B:C,2,0)))</f>
        <v/>
      </c>
    </row>
    <row r="177" spans="3:4" x14ac:dyDescent="0.25">
      <c r="C177" s="8" t="str">
        <f>IF(B177="","",RTD("octo.rtdserver","",B177,VLOOKUP($C$9,Plan3!$B:$C,2,0)))</f>
        <v/>
      </c>
      <c r="D177" s="8" t="str">
        <f>IF(B177="","",RTD("octo.rtdserver","",B177,VLOOKUP($D$9,Plan3!B:C,2,0)))</f>
        <v/>
      </c>
    </row>
    <row r="178" spans="3:4" x14ac:dyDescent="0.25">
      <c r="C178" s="8" t="str">
        <f>IF(B178="","",RTD("octo.rtdserver","",B178,VLOOKUP($C$9,Plan3!$B:$C,2,0)))</f>
        <v/>
      </c>
      <c r="D178" s="8" t="str">
        <f>IF(B178="","",RTD("octo.rtdserver","",B178,VLOOKUP($D$9,Plan3!B:C,2,0)))</f>
        <v/>
      </c>
    </row>
    <row r="179" spans="3:4" x14ac:dyDescent="0.25">
      <c r="C179" s="8" t="str">
        <f>IF(B179="","",RTD("octo.rtdserver","",B179,VLOOKUP($C$9,Plan3!$B:$C,2,0)))</f>
        <v/>
      </c>
      <c r="D179" s="8" t="str">
        <f>IF(B179="","",RTD("octo.rtdserver","",B179,VLOOKUP($D$9,Plan3!B:C,2,0)))</f>
        <v/>
      </c>
    </row>
    <row r="180" spans="3:4" x14ac:dyDescent="0.25">
      <c r="C180" s="8" t="str">
        <f>IF(B180="","",RTD("octo.rtdserver","",B180,VLOOKUP($C$9,Plan3!$B:$C,2,0)))</f>
        <v/>
      </c>
      <c r="D180" s="8" t="str">
        <f>IF(B180="","",RTD("octo.rtdserver","",B180,VLOOKUP($D$9,Plan3!B:C,2,0)))</f>
        <v/>
      </c>
    </row>
    <row r="181" spans="3:4" x14ac:dyDescent="0.25">
      <c r="C181" s="8" t="str">
        <f>IF(B181="","",RTD("octo.rtdserver","",B181,VLOOKUP($C$9,Plan3!$B:$C,2,0)))</f>
        <v/>
      </c>
      <c r="D181" s="8" t="str">
        <f>IF(B181="","",RTD("octo.rtdserver","",B181,VLOOKUP($D$9,Plan3!B:C,2,0)))</f>
        <v/>
      </c>
    </row>
    <row r="182" spans="3:4" x14ac:dyDescent="0.25">
      <c r="C182" s="8" t="str">
        <f>IF(B182="","",RTD("octo.rtdserver","",B182,VLOOKUP($C$9,Plan3!$B:$C,2,0)))</f>
        <v/>
      </c>
      <c r="D182" s="8" t="str">
        <f>IF(B182="","",RTD("octo.rtdserver","",B182,VLOOKUP($D$9,Plan3!B:C,2,0)))</f>
        <v/>
      </c>
    </row>
    <row r="183" spans="3:4" x14ac:dyDescent="0.25">
      <c r="C183" s="8" t="str">
        <f>IF(B183="","",RTD("octo.rtdserver","",B183,VLOOKUP($C$9,Plan3!$B:$C,2,0)))</f>
        <v/>
      </c>
      <c r="D183" s="8" t="str">
        <f>IF(B183="","",RTD("octo.rtdserver","",B183,VLOOKUP($D$9,Plan3!B:C,2,0)))</f>
        <v/>
      </c>
    </row>
    <row r="184" spans="3:4" x14ac:dyDescent="0.25">
      <c r="C184" s="8" t="str">
        <f>IF(B184="","",RTD("octo.rtdserver","",B184,VLOOKUP($C$9,Plan3!$B:$C,2,0)))</f>
        <v/>
      </c>
      <c r="D184" s="8" t="str">
        <f>IF(B184="","",RTD("octo.rtdserver","",B184,VLOOKUP($D$9,Plan3!B:C,2,0)))</f>
        <v/>
      </c>
    </row>
    <row r="185" spans="3:4" x14ac:dyDescent="0.25">
      <c r="C185" s="8" t="str">
        <f>IF(B185="","",RTD("octo.rtdserver","",B185,VLOOKUP($C$9,Plan3!$B:$C,2,0)))</f>
        <v/>
      </c>
      <c r="D185" s="8" t="str">
        <f>IF(B185="","",RTD("octo.rtdserver","",B185,VLOOKUP($D$9,Plan3!B:C,2,0)))</f>
        <v/>
      </c>
    </row>
    <row r="186" spans="3:4" x14ac:dyDescent="0.25">
      <c r="C186" s="8" t="str">
        <f>IF(B186="","",RTD("octo.rtdserver","",B186,VLOOKUP($C$9,Plan3!$B:$C,2,0)))</f>
        <v/>
      </c>
      <c r="D186" s="8" t="str">
        <f>IF(B186="","",RTD("octo.rtdserver","",B186,VLOOKUP($D$9,Plan3!B:C,2,0)))</f>
        <v/>
      </c>
    </row>
    <row r="187" spans="3:4" x14ac:dyDescent="0.25">
      <c r="C187" s="8" t="str">
        <f>IF(B187="","",RTD("octo.rtdserver","",B187,VLOOKUP($C$9,Plan3!$B:$C,2,0)))</f>
        <v/>
      </c>
      <c r="D187" s="8" t="str">
        <f>IF(B187="","",RTD("octo.rtdserver","",B187,VLOOKUP($D$9,Plan3!B:C,2,0)))</f>
        <v/>
      </c>
    </row>
    <row r="188" spans="3:4" x14ac:dyDescent="0.25">
      <c r="C188" s="8" t="str">
        <f>IF(B188="","",RTD("octo.rtdserver","",B188,VLOOKUP($C$9,Plan3!$B:$C,2,0)))</f>
        <v/>
      </c>
      <c r="D188" s="8" t="str">
        <f>IF(B188="","",RTD("octo.rtdserver","",B188,VLOOKUP($D$9,Plan3!B:C,2,0)))</f>
        <v/>
      </c>
    </row>
    <row r="189" spans="3:4" x14ac:dyDescent="0.25">
      <c r="C189" s="8" t="str">
        <f>IF(B189="","",RTD("octo.rtdserver","",B189,VLOOKUP($C$9,Plan3!$B:$C,2,0)))</f>
        <v/>
      </c>
      <c r="D189" s="8" t="str">
        <f>IF(B189="","",RTD("octo.rtdserver","",B189,VLOOKUP($D$9,Plan3!B:C,2,0)))</f>
        <v/>
      </c>
    </row>
    <row r="190" spans="3:4" x14ac:dyDescent="0.25">
      <c r="C190" s="8" t="str">
        <f>IF(B190="","",RTD("octo.rtdserver","",B190,VLOOKUP($C$9,Plan3!$B:$C,2,0)))</f>
        <v/>
      </c>
      <c r="D190" s="8" t="str">
        <f>IF(B190="","",RTD("octo.rtdserver","",B190,VLOOKUP($D$9,Plan3!B:C,2,0)))</f>
        <v/>
      </c>
    </row>
    <row r="191" spans="3:4" x14ac:dyDescent="0.25">
      <c r="C191" s="8" t="str">
        <f>IF(B191="","",RTD("octo.rtdserver","",B191,VLOOKUP($C$9,Plan3!$B:$C,2,0)))</f>
        <v/>
      </c>
      <c r="D191" s="8" t="str">
        <f>IF(B191="","",RTD("octo.rtdserver","",B191,VLOOKUP($D$9,Plan3!B:C,2,0)))</f>
        <v/>
      </c>
    </row>
    <row r="192" spans="3:4" x14ac:dyDescent="0.25">
      <c r="C192" s="8" t="str">
        <f>IF(B192="","",RTD("octo.rtdserver","",B192,VLOOKUP($C$9,Plan3!$B:$C,2,0)))</f>
        <v/>
      </c>
      <c r="D192" s="8" t="str">
        <f>IF(B192="","",RTD("octo.rtdserver","",B192,VLOOKUP($D$9,Plan3!B:C,2,0)))</f>
        <v/>
      </c>
    </row>
    <row r="193" spans="3:4" x14ac:dyDescent="0.25">
      <c r="C193" s="8" t="str">
        <f>IF(B193="","",RTD("octo.rtdserver","",B193,VLOOKUP($C$9,Plan3!$B:$C,2,0)))</f>
        <v/>
      </c>
      <c r="D193" s="8" t="str">
        <f>IF(B193="","",RTD("octo.rtdserver","",B193,VLOOKUP($D$9,Plan3!B:C,2,0)))</f>
        <v/>
      </c>
    </row>
    <row r="194" spans="3:4" x14ac:dyDescent="0.25">
      <c r="C194" s="8" t="str">
        <f>IF(B194="","",RTD("octo.rtdserver","",B194,VLOOKUP($C$9,Plan3!$B:$C,2,0)))</f>
        <v/>
      </c>
      <c r="D194" s="8" t="str">
        <f>IF(B194="","",RTD("octo.rtdserver","",B194,VLOOKUP($D$9,Plan3!B:C,2,0)))</f>
        <v/>
      </c>
    </row>
    <row r="195" spans="3:4" x14ac:dyDescent="0.25">
      <c r="C195" s="8" t="str">
        <f>IF(B195="","",RTD("octo.rtdserver","",B195,VLOOKUP($C$9,Plan3!$B:$C,2,0)))</f>
        <v/>
      </c>
      <c r="D195" s="8" t="str">
        <f>IF(B195="","",RTD("octo.rtdserver","",B195,VLOOKUP($D$9,Plan3!B:C,2,0)))</f>
        <v/>
      </c>
    </row>
    <row r="196" spans="3:4" x14ac:dyDescent="0.25">
      <c r="C196" s="8" t="str">
        <f>IF(B196="","",RTD("octo.rtdserver","",B196,VLOOKUP($C$9,Plan3!$B:$C,2,0)))</f>
        <v/>
      </c>
      <c r="D196" s="8" t="str">
        <f>IF(B196="","",RTD("octo.rtdserver","",B196,VLOOKUP($D$9,Plan3!B:C,2,0)))</f>
        <v/>
      </c>
    </row>
    <row r="197" spans="3:4" x14ac:dyDescent="0.25">
      <c r="C197" s="8" t="str">
        <f>IF(B197="","",RTD("octo.rtdserver","",B197,VLOOKUP($C$9,Plan3!$B:$C,2,0)))</f>
        <v/>
      </c>
      <c r="D197" s="8" t="str">
        <f>IF(B197="","",RTD("octo.rtdserver","",B197,VLOOKUP($D$9,Plan3!B:C,2,0)))</f>
        <v/>
      </c>
    </row>
    <row r="198" spans="3:4" x14ac:dyDescent="0.25">
      <c r="C198" s="8" t="str">
        <f>IF(B198="","",RTD("octo.rtdserver","",B198,VLOOKUP($C$9,Plan3!$B:$C,2,0)))</f>
        <v/>
      </c>
      <c r="D198" s="8" t="str">
        <f>IF(B198="","",RTD("octo.rtdserver","",B198,VLOOKUP($D$9,Plan3!B:C,2,0)))</f>
        <v/>
      </c>
    </row>
    <row r="199" spans="3:4" x14ac:dyDescent="0.25">
      <c r="C199" s="8" t="str">
        <f>IF(B199="","",RTD("octo.rtdserver","",B199,VLOOKUP($C$9,Plan3!$B:$C,2,0)))</f>
        <v/>
      </c>
      <c r="D199" s="8" t="str">
        <f>IF(B199="","",RTD("octo.rtdserver","",B199,VLOOKUP($D$9,Plan3!B:C,2,0)))</f>
        <v/>
      </c>
    </row>
    <row r="200" spans="3:4" x14ac:dyDescent="0.25">
      <c r="C200" s="8" t="str">
        <f>IF(B200="","",RTD("octo.rtdserver","",B200,VLOOKUP($C$9,Plan3!$B:$C,2,0)))</f>
        <v/>
      </c>
      <c r="D200" s="8" t="str">
        <f>IF(B200="","",RTD("octo.rtdserver","",B200,VLOOKUP($D$9,Plan3!B:C,2,0)))</f>
        <v/>
      </c>
    </row>
    <row r="201" spans="3:4" x14ac:dyDescent="0.25">
      <c r="C201" s="8" t="str">
        <f>IF(B201="","",RTD("octo.rtdserver","",B201,VLOOKUP($C$9,Plan3!$B:$C,2,0)))</f>
        <v/>
      </c>
      <c r="D201" s="8" t="str">
        <f>IF(B201="","",RTD("octo.rtdserver","",B201,VLOOKUP($D$9,Plan3!B:C,2,0)))</f>
        <v/>
      </c>
    </row>
    <row r="202" spans="3:4" x14ac:dyDescent="0.25">
      <c r="C202" s="8" t="str">
        <f>IF(B202="","",RTD("octo.rtdserver","",B202,VLOOKUP($C$9,Plan3!$B:$C,2,0)))</f>
        <v/>
      </c>
      <c r="D202" s="8" t="str">
        <f>IF(B202="","",RTD("octo.rtdserver","",B202,VLOOKUP($D$9,Plan3!B:C,2,0)))</f>
        <v/>
      </c>
    </row>
    <row r="203" spans="3:4" x14ac:dyDescent="0.25">
      <c r="C203" s="8" t="str">
        <f>IF(B203="","",RTD("octo.rtdserver","",B203,VLOOKUP($C$9,Plan3!$B:$C,2,0)))</f>
        <v/>
      </c>
      <c r="D203" s="8" t="str">
        <f>IF(B203="","",RTD("octo.rtdserver","",B203,VLOOKUP($D$9,Plan3!B:C,2,0)))</f>
        <v/>
      </c>
    </row>
    <row r="204" spans="3:4" x14ac:dyDescent="0.25">
      <c r="C204" s="8" t="str">
        <f>IF(B204="","",RTD("octo.rtdserver","",B204,VLOOKUP($C$9,Plan3!$B:$C,2,0)))</f>
        <v/>
      </c>
      <c r="D204" s="8" t="str">
        <f>IF(B204="","",RTD("octo.rtdserver","",B204,VLOOKUP($D$9,Plan3!B:C,2,0)))</f>
        <v/>
      </c>
    </row>
    <row r="205" spans="3:4" x14ac:dyDescent="0.25">
      <c r="C205" s="8" t="str">
        <f>IF(B205="","",RTD("octo.rtdserver","",B205,VLOOKUP($C$9,Plan3!$B:$C,2,0)))</f>
        <v/>
      </c>
      <c r="D205" s="8" t="str">
        <f>IF(B205="","",RTD("octo.rtdserver","",B205,VLOOKUP($D$9,Plan3!B:C,2,0)))</f>
        <v/>
      </c>
    </row>
    <row r="206" spans="3:4" x14ac:dyDescent="0.25">
      <c r="C206" s="8" t="str">
        <f>IF(B206="","",RTD("octo.rtdserver","",B206,VLOOKUP($C$9,Plan3!$B:$C,2,0)))</f>
        <v/>
      </c>
      <c r="D206" s="8" t="str">
        <f>IF(B206="","",RTD("octo.rtdserver","",B206,VLOOKUP($D$9,Plan3!B:C,2,0)))</f>
        <v/>
      </c>
    </row>
    <row r="207" spans="3:4" x14ac:dyDescent="0.25">
      <c r="C207" s="8" t="str">
        <f>IF(B207="","",RTD("octo.rtdserver","",B207,VLOOKUP($C$9,Plan3!$B:$C,2,0)))</f>
        <v/>
      </c>
      <c r="D207" s="8" t="str">
        <f>IF(B207="","",RTD("octo.rtdserver","",B207,VLOOKUP($D$9,Plan3!B:C,2,0)))</f>
        <v/>
      </c>
    </row>
    <row r="208" spans="3:4" x14ac:dyDescent="0.25">
      <c r="C208" s="8" t="str">
        <f>IF(B208="","",RTD("octo.rtdserver","",B208,VLOOKUP($C$9,Plan3!$B:$C,2,0)))</f>
        <v/>
      </c>
      <c r="D208" s="8" t="str">
        <f>IF(B208="","",RTD("octo.rtdserver","",B208,VLOOKUP($D$9,Plan3!B:C,2,0)))</f>
        <v/>
      </c>
    </row>
    <row r="209" spans="3:4" x14ac:dyDescent="0.25">
      <c r="C209" s="8" t="str">
        <f>IF(B209="","",RTD("octo.rtdserver","",B209,VLOOKUP($C$9,Plan3!$B:$C,2,0)))</f>
        <v/>
      </c>
      <c r="D209" s="8" t="str">
        <f>IF(B209="","",RTD("octo.rtdserver","",B209,VLOOKUP($D$9,Plan3!B:C,2,0)))</f>
        <v/>
      </c>
    </row>
    <row r="210" spans="3:4" x14ac:dyDescent="0.25">
      <c r="C210" s="8" t="str">
        <f>IF(B210="","",RTD("octo.rtdserver","",B210,VLOOKUP($C$9,Plan3!$B:$C,2,0)))</f>
        <v/>
      </c>
      <c r="D210" s="8" t="str">
        <f>IF(B210="","",RTD("octo.rtdserver","",B210,VLOOKUP($D$9,Plan3!B:C,2,0)))</f>
        <v/>
      </c>
    </row>
    <row r="211" spans="3:4" x14ac:dyDescent="0.25">
      <c r="C211" s="8" t="str">
        <f>IF(B211="","",RTD("octo.rtdserver","",B211,VLOOKUP($C$9,Plan3!$B:$C,2,0)))</f>
        <v/>
      </c>
      <c r="D211" s="8" t="str">
        <f>IF(B211="","",RTD("octo.rtdserver","",B211,VLOOKUP($D$9,Plan3!B:C,2,0)))</f>
        <v/>
      </c>
    </row>
    <row r="212" spans="3:4" x14ac:dyDescent="0.25">
      <c r="C212" s="8" t="str">
        <f>IF(B212="","",RTD("octo.rtdserver","",B212,VLOOKUP($C$9,Plan3!$B:$C,2,0)))</f>
        <v/>
      </c>
      <c r="D212" s="8" t="str">
        <f>IF(B212="","",RTD("octo.rtdserver","",B212,VLOOKUP($D$9,Plan3!B:C,2,0)))</f>
        <v/>
      </c>
    </row>
    <row r="213" spans="3:4" x14ac:dyDescent="0.25">
      <c r="C213" s="8" t="str">
        <f>IF(B213="","",RTD("octo.rtdserver","",B213,VLOOKUP($C$9,Plan3!$B:$C,2,0)))</f>
        <v/>
      </c>
      <c r="D213" s="8" t="str">
        <f>IF(B213="","",RTD("octo.rtdserver","",B213,VLOOKUP($D$9,Plan3!B:C,2,0)))</f>
        <v/>
      </c>
    </row>
    <row r="214" spans="3:4" x14ac:dyDescent="0.25">
      <c r="C214" s="8" t="str">
        <f>IF(B214="","",RTD("octo.rtdserver","",B214,VLOOKUP($C$9,Plan3!$B:$C,2,0)))</f>
        <v/>
      </c>
      <c r="D214" s="8" t="str">
        <f>IF(B214="","",RTD("octo.rtdserver","",B214,VLOOKUP($D$9,Plan3!B:C,2,0)))</f>
        <v/>
      </c>
    </row>
    <row r="215" spans="3:4" x14ac:dyDescent="0.25">
      <c r="C215" s="8" t="str">
        <f>IF(B215="","",RTD("octo.rtdserver","",B215,VLOOKUP($C$9,Plan3!$B:$C,2,0)))</f>
        <v/>
      </c>
      <c r="D215" s="8" t="str">
        <f>IF(B215="","",RTD("octo.rtdserver","",B215,VLOOKUP($D$9,Plan3!B:C,2,0)))</f>
        <v/>
      </c>
    </row>
    <row r="216" spans="3:4" x14ac:dyDescent="0.25">
      <c r="C216" s="8" t="str">
        <f>IF(B216="","",RTD("octo.rtdserver","",B216,VLOOKUP($C$9,Plan3!$B:$C,2,0)))</f>
        <v/>
      </c>
      <c r="D216" s="8" t="str">
        <f>IF(B216="","",RTD("octo.rtdserver","",B216,VLOOKUP($D$9,Plan3!B:C,2,0)))</f>
        <v/>
      </c>
    </row>
    <row r="217" spans="3:4" x14ac:dyDescent="0.25">
      <c r="C217" s="8" t="str">
        <f>IF(B217="","",RTD("octo.rtdserver","",B217,VLOOKUP($C$9,Plan3!$B:$C,2,0)))</f>
        <v/>
      </c>
      <c r="D217" s="8" t="str">
        <f>IF(B217="","",RTD("octo.rtdserver","",B217,VLOOKUP($D$9,Plan3!B:C,2,0)))</f>
        <v/>
      </c>
    </row>
    <row r="218" spans="3:4" x14ac:dyDescent="0.25">
      <c r="C218" s="8" t="str">
        <f>IF(B218="","",RTD("octo.rtdserver","",B218,VLOOKUP($C$9,Plan3!$B:$C,2,0)))</f>
        <v/>
      </c>
      <c r="D218" s="8" t="str">
        <f>IF(B218="","",RTD("octo.rtdserver","",B218,VLOOKUP($D$9,Plan3!B:C,2,0)))</f>
        <v/>
      </c>
    </row>
    <row r="219" spans="3:4" x14ac:dyDescent="0.25">
      <c r="C219" s="8" t="str">
        <f>IF(B219="","",RTD("octo.rtdserver","",B219,VLOOKUP($C$9,Plan3!$B:$C,2,0)))</f>
        <v/>
      </c>
      <c r="D219" s="8" t="str">
        <f>IF(B219="","",RTD("octo.rtdserver","",B219,VLOOKUP($D$9,Plan3!B:C,2,0)))</f>
        <v/>
      </c>
    </row>
    <row r="220" spans="3:4" x14ac:dyDescent="0.25">
      <c r="C220" s="8" t="str">
        <f>IF(B220="","",RTD("octo.rtdserver","",B220,VLOOKUP($C$9,Plan3!$B:$C,2,0)))</f>
        <v/>
      </c>
      <c r="D220" s="8" t="str">
        <f>IF(B220="","",RTD("octo.rtdserver","",B220,VLOOKUP($D$9,Plan3!B:C,2,0)))</f>
        <v/>
      </c>
    </row>
    <row r="221" spans="3:4" x14ac:dyDescent="0.25">
      <c r="C221" s="8" t="str">
        <f>IF(B221="","",RTD("octo.rtdserver","",B221,VLOOKUP($C$9,Plan3!$B:$C,2,0)))</f>
        <v/>
      </c>
      <c r="D221" s="8" t="str">
        <f>IF(B221="","",RTD("octo.rtdserver","",B221,VLOOKUP($D$9,Plan3!B:C,2,0)))</f>
        <v/>
      </c>
    </row>
    <row r="222" spans="3:4" x14ac:dyDescent="0.25">
      <c r="C222" s="8" t="str">
        <f>IF(B222="","",RTD("octo.rtdserver","",B222,VLOOKUP($C$9,Plan3!$B:$C,2,0)))</f>
        <v/>
      </c>
      <c r="D222" s="8" t="str">
        <f>IF(B222="","",RTD("octo.rtdserver","",B222,VLOOKUP($D$9,Plan3!B:C,2,0)))</f>
        <v/>
      </c>
    </row>
    <row r="223" spans="3:4" x14ac:dyDescent="0.25">
      <c r="C223" s="8" t="str">
        <f>IF(B223="","",RTD("octo.rtdserver","",B223,VLOOKUP($C$9,Plan3!$B:$C,2,0)))</f>
        <v/>
      </c>
      <c r="D223" s="8" t="str">
        <f>IF(B223="","",RTD("octo.rtdserver","",B223,VLOOKUP($D$9,Plan3!B:C,2,0)))</f>
        <v/>
      </c>
    </row>
    <row r="224" spans="3:4" x14ac:dyDescent="0.25">
      <c r="C224" s="8" t="str">
        <f>IF(B224="","",RTD("octo.rtdserver","",B224,VLOOKUP($C$9,Plan3!$B:$C,2,0)))</f>
        <v/>
      </c>
      <c r="D224" s="8" t="str">
        <f>IF(B224="","",RTD("octo.rtdserver","",B224,VLOOKUP($D$9,Plan3!B:C,2,0)))</f>
        <v/>
      </c>
    </row>
    <row r="225" spans="3:4" x14ac:dyDescent="0.25">
      <c r="C225" s="8" t="str">
        <f>IF(B225="","",RTD("octo.rtdserver","",B225,VLOOKUP($C$9,Plan3!$B:$C,2,0)))</f>
        <v/>
      </c>
      <c r="D225" s="8" t="str">
        <f>IF(B225="","",RTD("octo.rtdserver","",B225,VLOOKUP($D$9,Plan3!B:C,2,0)))</f>
        <v/>
      </c>
    </row>
    <row r="226" spans="3:4" x14ac:dyDescent="0.25">
      <c r="C226" s="8" t="str">
        <f>IF(B226="","",RTD("octo.rtdserver","",B226,VLOOKUP($C$9,Plan3!$B:$C,2,0)))</f>
        <v/>
      </c>
      <c r="D226" s="8" t="str">
        <f>IF(B226="","",RTD("octo.rtdserver","",B226,VLOOKUP($D$9,Plan3!B:C,2,0)))</f>
        <v/>
      </c>
    </row>
    <row r="227" spans="3:4" x14ac:dyDescent="0.25">
      <c r="C227" s="8" t="str">
        <f>IF(B227="","",RTD("octo.rtdserver","",B227,VLOOKUP($C$9,Plan3!$B:$C,2,0)))</f>
        <v/>
      </c>
      <c r="D227" s="8" t="str">
        <f>IF(B227="","",RTD("octo.rtdserver","",B227,VLOOKUP($D$9,Plan3!B:C,2,0)))</f>
        <v/>
      </c>
    </row>
    <row r="228" spans="3:4" x14ac:dyDescent="0.25">
      <c r="C228" s="8" t="str">
        <f>IF(B228="","",RTD("octo.rtdserver","",B228,VLOOKUP($C$9,Plan3!$B:$C,2,0)))</f>
        <v/>
      </c>
      <c r="D228" s="8" t="str">
        <f>IF(B228="","",RTD("octo.rtdserver","",B228,VLOOKUP($D$9,Plan3!B:C,2,0)))</f>
        <v/>
      </c>
    </row>
    <row r="229" spans="3:4" x14ac:dyDescent="0.25">
      <c r="C229" s="8" t="str">
        <f>IF(B229="","",RTD("octo.rtdserver","",B229,VLOOKUP($C$9,Plan3!$B:$C,2,0)))</f>
        <v/>
      </c>
      <c r="D229" s="8" t="str">
        <f>IF(B229="","",RTD("octo.rtdserver","",B229,VLOOKUP($D$9,Plan3!B:C,2,0)))</f>
        <v/>
      </c>
    </row>
    <row r="230" spans="3:4" x14ac:dyDescent="0.25">
      <c r="C230" s="8" t="str">
        <f>IF(B230="","",RTD("octo.rtdserver","",B230,VLOOKUP($C$9,Plan3!$B:$C,2,0)))</f>
        <v/>
      </c>
      <c r="D230" s="8" t="str">
        <f>IF(B230="","",RTD("octo.rtdserver","",B230,VLOOKUP($D$9,Plan3!B:C,2,0)))</f>
        <v/>
      </c>
    </row>
    <row r="231" spans="3:4" x14ac:dyDescent="0.25">
      <c r="C231" s="8" t="str">
        <f>IF(B231="","",RTD("octo.rtdserver","",B231,VLOOKUP($C$9,Plan3!$B:$C,2,0)))</f>
        <v/>
      </c>
      <c r="D231" s="8" t="str">
        <f>IF(B231="","",RTD("octo.rtdserver","",B231,VLOOKUP($D$9,Plan3!B:C,2,0)))</f>
        <v/>
      </c>
    </row>
    <row r="232" spans="3:4" x14ac:dyDescent="0.25">
      <c r="C232" s="8" t="str">
        <f>IF(B232="","",RTD("octo.rtdserver","",B232,VLOOKUP($C$9,Plan3!$B:$C,2,0)))</f>
        <v/>
      </c>
      <c r="D232" s="8" t="str">
        <f>IF(B232="","",RTD("octo.rtdserver","",B232,VLOOKUP($D$9,Plan3!B:C,2,0)))</f>
        <v/>
      </c>
    </row>
    <row r="233" spans="3:4" x14ac:dyDescent="0.25">
      <c r="C233" s="8" t="str">
        <f>IF(B233="","",RTD("octo.rtdserver","",B233,VLOOKUP($C$9,Plan3!$B:$C,2,0)))</f>
        <v/>
      </c>
      <c r="D233" s="8" t="str">
        <f>IF(B233="","",RTD("octo.rtdserver","",B233,VLOOKUP($D$9,Plan3!B:C,2,0)))</f>
        <v/>
      </c>
    </row>
    <row r="234" spans="3:4" x14ac:dyDescent="0.25">
      <c r="C234" s="8" t="str">
        <f>IF(B234="","",RTD("octo.rtdserver","",B234,VLOOKUP($C$9,Plan3!$B:$C,2,0)))</f>
        <v/>
      </c>
      <c r="D234" s="8" t="str">
        <f>IF(B234="","",RTD("octo.rtdserver","",B234,VLOOKUP($D$9,Plan3!B:C,2,0)))</f>
        <v/>
      </c>
    </row>
    <row r="235" spans="3:4" x14ac:dyDescent="0.25">
      <c r="C235" s="8" t="str">
        <f>IF(B235="","",RTD("octo.rtdserver","",B235,VLOOKUP($C$9,Plan3!$B:$C,2,0)))</f>
        <v/>
      </c>
      <c r="D235" s="8" t="str">
        <f>IF(B235="","",RTD("octo.rtdserver","",B235,VLOOKUP($D$9,Plan3!B:C,2,0)))</f>
        <v/>
      </c>
    </row>
    <row r="236" spans="3:4" x14ac:dyDescent="0.25">
      <c r="C236" s="8" t="str">
        <f>IF(B236="","",RTD("octo.rtdserver","",B236,VLOOKUP($C$9,Plan3!$B:$C,2,0)))</f>
        <v/>
      </c>
      <c r="D236" s="8" t="str">
        <f>IF(B236="","",RTD("octo.rtdserver","",B236,VLOOKUP($D$9,Plan3!B:C,2,0)))</f>
        <v/>
      </c>
    </row>
    <row r="237" spans="3:4" x14ac:dyDescent="0.25">
      <c r="C237" s="8" t="str">
        <f>IF(B237="","",RTD("octo.rtdserver","",B237,VLOOKUP($C$9,Plan3!$B:$C,2,0)))</f>
        <v/>
      </c>
      <c r="D237" s="8" t="str">
        <f>IF(B237="","",RTD("octo.rtdserver","",B237,VLOOKUP($D$9,Plan3!B:C,2,0)))</f>
        <v/>
      </c>
    </row>
    <row r="238" spans="3:4" x14ac:dyDescent="0.25">
      <c r="C238" s="8" t="str">
        <f>IF(B238="","",RTD("octo.rtdserver","",B238,VLOOKUP($C$9,Plan3!$B:$C,2,0)))</f>
        <v/>
      </c>
      <c r="D238" s="8" t="str">
        <f>IF(B238="","",RTD("octo.rtdserver","",B238,VLOOKUP($D$9,Plan3!B:C,2,0)))</f>
        <v/>
      </c>
    </row>
    <row r="239" spans="3:4" x14ac:dyDescent="0.25">
      <c r="C239" s="8" t="str">
        <f>IF(B239="","",RTD("octo.rtdserver","",B239,VLOOKUP($C$9,Plan3!$B:$C,2,0)))</f>
        <v/>
      </c>
      <c r="D239" s="8" t="str">
        <f>IF(B239="","",RTD("octo.rtdserver","",B239,VLOOKUP($D$9,Plan3!B:C,2,0)))</f>
        <v/>
      </c>
    </row>
    <row r="240" spans="3:4" x14ac:dyDescent="0.25">
      <c r="C240" s="8" t="str">
        <f>IF(B240="","",RTD("octo.rtdserver","",B240,VLOOKUP($C$9,Plan3!$B:$C,2,0)))</f>
        <v/>
      </c>
      <c r="D240" s="8" t="str">
        <f>IF(B240="","",RTD("octo.rtdserver","",B240,VLOOKUP($D$9,Plan3!B:C,2,0)))</f>
        <v/>
      </c>
    </row>
    <row r="241" spans="3:4" x14ac:dyDescent="0.25">
      <c r="C241" s="8" t="str">
        <f>IF(B241="","",RTD("octo.rtdserver","",B241,VLOOKUP($C$9,Plan3!$B:$C,2,0)))</f>
        <v/>
      </c>
      <c r="D241" s="8" t="str">
        <f>IF(B241="","",RTD("octo.rtdserver","",B241,VLOOKUP($D$9,Plan3!B:C,2,0)))</f>
        <v/>
      </c>
    </row>
    <row r="242" spans="3:4" x14ac:dyDescent="0.25">
      <c r="C242" s="8" t="str">
        <f>IF(B242="","",RTD("octo.rtdserver","",B242,VLOOKUP($C$9,Plan3!$B:$C,2,0)))</f>
        <v/>
      </c>
      <c r="D242" s="8" t="str">
        <f>IF(B242="","",RTD("octo.rtdserver","",B242,VLOOKUP($D$9,Plan3!B:C,2,0)))</f>
        <v/>
      </c>
    </row>
    <row r="243" spans="3:4" x14ac:dyDescent="0.25">
      <c r="C243" s="8" t="str">
        <f>IF(B243="","",RTD("octo.rtdserver","",B243,VLOOKUP($C$9,Plan3!$B:$C,2,0)))</f>
        <v/>
      </c>
      <c r="D243" s="8" t="str">
        <f>IF(B243="","",RTD("octo.rtdserver","",B243,VLOOKUP($D$9,Plan3!B:C,2,0)))</f>
        <v/>
      </c>
    </row>
    <row r="244" spans="3:4" x14ac:dyDescent="0.25">
      <c r="C244" s="8" t="str">
        <f>IF(B244="","",RTD("octo.rtdserver","",B244,VLOOKUP($C$9,Plan3!$B:$C,2,0)))</f>
        <v/>
      </c>
      <c r="D244" s="8" t="str">
        <f>IF(B244="","",RTD("octo.rtdserver","",B244,VLOOKUP($D$9,Plan3!B:C,2,0)))</f>
        <v/>
      </c>
    </row>
    <row r="245" spans="3:4" x14ac:dyDescent="0.25">
      <c r="C245" s="8" t="str">
        <f>IF(B245="","",RTD("octo.rtdserver","",B245,VLOOKUP($C$9,Plan3!$B:$C,2,0)))</f>
        <v/>
      </c>
      <c r="D245" s="8" t="str">
        <f>IF(B245="","",RTD("octo.rtdserver","",B245,VLOOKUP($D$9,Plan3!B:C,2,0)))</f>
        <v/>
      </c>
    </row>
    <row r="246" spans="3:4" x14ac:dyDescent="0.25">
      <c r="C246" s="8" t="str">
        <f>IF(B246="","",RTD("octo.rtdserver","",B246,VLOOKUP($C$9,Plan3!$B:$C,2,0)))</f>
        <v/>
      </c>
      <c r="D246" s="8" t="str">
        <f>IF(B246="","",RTD("octo.rtdserver","",B246,VLOOKUP($D$9,Plan3!B:C,2,0)))</f>
        <v/>
      </c>
    </row>
    <row r="247" spans="3:4" x14ac:dyDescent="0.25">
      <c r="C247" s="8" t="str">
        <f>IF(B247="","",RTD("octo.rtdserver","",B247,VLOOKUP($C$9,Plan3!$B:$C,2,0)))</f>
        <v/>
      </c>
      <c r="D247" s="8" t="str">
        <f>IF(B247="","",RTD("octo.rtdserver","",B247,VLOOKUP($D$9,Plan3!B:C,2,0)))</f>
        <v/>
      </c>
    </row>
    <row r="248" spans="3:4" x14ac:dyDescent="0.25">
      <c r="C248" s="8" t="str">
        <f>IF(B248="","",RTD("octo.rtdserver","",B248,VLOOKUP($C$9,Plan3!$B:$C,2,0)))</f>
        <v/>
      </c>
      <c r="D248" s="8" t="str">
        <f>IF(B248="","",RTD("octo.rtdserver","",B248,VLOOKUP($D$9,Plan3!B:C,2,0)))</f>
        <v/>
      </c>
    </row>
    <row r="249" spans="3:4" x14ac:dyDescent="0.25">
      <c r="C249" s="8" t="str">
        <f>IF(B249="","",RTD("octo.rtdserver","",B249,VLOOKUP($C$9,Plan3!$B:$C,2,0)))</f>
        <v/>
      </c>
      <c r="D249" s="8" t="str">
        <f>IF(B249="","",RTD("octo.rtdserver","",B249,VLOOKUP($D$9,Plan3!B:C,2,0)))</f>
        <v/>
      </c>
    </row>
    <row r="250" spans="3:4" x14ac:dyDescent="0.25">
      <c r="C250" s="8" t="str">
        <f>IF(B250="","",RTD("octo.rtdserver","",B250,VLOOKUP($C$9,Plan3!$B:$C,2,0)))</f>
        <v/>
      </c>
      <c r="D250" s="8" t="str">
        <f>IF(B250="","",RTD("octo.rtdserver","",B250,VLOOKUP($D$9,Plan3!B:C,2,0)))</f>
        <v/>
      </c>
    </row>
    <row r="251" spans="3:4" x14ac:dyDescent="0.25">
      <c r="C251" s="8" t="str">
        <f>IF(B251="","",RTD("octo.rtdserver","",B251,VLOOKUP($C$9,Plan3!$B:$C,2,0)))</f>
        <v/>
      </c>
      <c r="D251" s="8" t="str">
        <f>IF(B251="","",RTD("octo.rtdserver","",B251,VLOOKUP($D$9,Plan3!B:C,2,0)))</f>
        <v/>
      </c>
    </row>
    <row r="252" spans="3:4" x14ac:dyDescent="0.25">
      <c r="C252" s="8" t="str">
        <f>IF(B252="","",RTD("octo.rtdserver","",B252,VLOOKUP($C$9,Plan3!$B:$C,2,0)))</f>
        <v/>
      </c>
      <c r="D252" s="8" t="str">
        <f>IF(B252="","",RTD("octo.rtdserver","",B252,VLOOKUP($D$9,Plan3!B:C,2,0)))</f>
        <v/>
      </c>
    </row>
    <row r="253" spans="3:4" x14ac:dyDescent="0.25">
      <c r="C253" s="8" t="str">
        <f>IF(B253="","",RTD("octo.rtdserver","",B253,VLOOKUP($C$9,Plan3!$B:$C,2,0)))</f>
        <v/>
      </c>
      <c r="D253" s="8" t="str">
        <f>IF(B253="","",RTD("octo.rtdserver","",B253,VLOOKUP($D$9,Plan3!B:C,2,0)))</f>
        <v/>
      </c>
    </row>
    <row r="254" spans="3:4" x14ac:dyDescent="0.25">
      <c r="C254" s="8" t="str">
        <f>IF(B254="","",RTD("octo.rtdserver","",B254,VLOOKUP($C$9,Plan3!$B:$C,2,0)))</f>
        <v/>
      </c>
      <c r="D254" s="8" t="str">
        <f>IF(B254="","",RTD("octo.rtdserver","",B254,VLOOKUP($D$9,Plan3!B:C,2,0)))</f>
        <v/>
      </c>
    </row>
    <row r="255" spans="3:4" x14ac:dyDescent="0.25">
      <c r="C255" s="8" t="str">
        <f>IF(B255="","",RTD("octo.rtdserver","",B255,VLOOKUP($C$9,Plan3!$B:$C,2,0)))</f>
        <v/>
      </c>
      <c r="D255" s="8" t="str">
        <f>IF(B255="","",RTD("octo.rtdserver","",B255,VLOOKUP($D$9,Plan3!B:C,2,0)))</f>
        <v/>
      </c>
    </row>
    <row r="256" spans="3:4" x14ac:dyDescent="0.25">
      <c r="C256" s="8" t="str">
        <f>IF(B256="","",RTD("octo.rtdserver","",B256,VLOOKUP($C$9,Plan3!$B:$C,2,0)))</f>
        <v/>
      </c>
      <c r="D256" s="8" t="str">
        <f>IF(B256="","",RTD("octo.rtdserver","",B256,VLOOKUP($D$9,Plan3!B:C,2,0)))</f>
        <v/>
      </c>
    </row>
    <row r="257" spans="3:4" x14ac:dyDescent="0.25">
      <c r="C257" s="8" t="str">
        <f>IF(B257="","",RTD("octo.rtdserver","",B257,VLOOKUP($C$9,Plan3!$B:$C,2,0)))</f>
        <v/>
      </c>
      <c r="D257" s="8" t="str">
        <f>IF(B257="","",RTD("octo.rtdserver","",B257,VLOOKUP($D$9,Plan3!B:C,2,0)))</f>
        <v/>
      </c>
    </row>
    <row r="258" spans="3:4" x14ac:dyDescent="0.25">
      <c r="C258" s="8" t="str">
        <f>IF(B258="","",RTD("octo.rtdserver","",B258,VLOOKUP($C$9,Plan3!$B:$C,2,0)))</f>
        <v/>
      </c>
      <c r="D258" s="8" t="str">
        <f>IF(B258="","",RTD("octo.rtdserver","",B258,VLOOKUP($D$9,Plan3!B:C,2,0)))</f>
        <v/>
      </c>
    </row>
    <row r="259" spans="3:4" x14ac:dyDescent="0.25">
      <c r="C259" s="8" t="str">
        <f>IF(B259="","",RTD("octo.rtdserver","",B259,VLOOKUP($C$9,Plan3!$B:$C,2,0)))</f>
        <v/>
      </c>
      <c r="D259" s="8" t="str">
        <f>IF(B259="","",RTD("octo.rtdserver","",B259,VLOOKUP($D$9,Plan3!B:C,2,0)))</f>
        <v/>
      </c>
    </row>
    <row r="260" spans="3:4" x14ac:dyDescent="0.25">
      <c r="C260" s="8" t="str">
        <f>IF(B260="","",RTD("octo.rtdserver","",B260,VLOOKUP($C$9,Plan3!$B:$C,2,0)))</f>
        <v/>
      </c>
      <c r="D260" s="8" t="str">
        <f>IF(B260="","",RTD("octo.rtdserver","",B260,VLOOKUP($D$9,Plan3!B:C,2,0)))</f>
        <v/>
      </c>
    </row>
    <row r="261" spans="3:4" x14ac:dyDescent="0.25">
      <c r="C261" s="8" t="str">
        <f>IF(B261="","",RTD("octo.rtdserver","",B261,VLOOKUP($C$9,Plan3!$B:$C,2,0)))</f>
        <v/>
      </c>
      <c r="D261" s="8" t="str">
        <f>IF(B261="","",RTD("octo.rtdserver","",B261,VLOOKUP($D$9,Plan3!B:C,2,0)))</f>
        <v/>
      </c>
    </row>
    <row r="262" spans="3:4" x14ac:dyDescent="0.25">
      <c r="C262" s="8" t="str">
        <f>IF(B262="","",RTD("octo.rtdserver","",B262,VLOOKUP($C$9,Plan3!$B:$C,2,0)))</f>
        <v/>
      </c>
      <c r="D262" s="8" t="str">
        <f>IF(B262="","",RTD("octo.rtdserver","",B262,VLOOKUP($D$9,Plan3!B:C,2,0)))</f>
        <v/>
      </c>
    </row>
    <row r="263" spans="3:4" x14ac:dyDescent="0.25">
      <c r="C263" s="8" t="str">
        <f>IF(B263="","",RTD("octo.rtdserver","",B263,VLOOKUP($C$9,Plan3!$B:$C,2,0)))</f>
        <v/>
      </c>
      <c r="D263" s="8" t="str">
        <f>IF(B263="","",RTD("octo.rtdserver","",B263,VLOOKUP($D$9,Plan3!B:C,2,0)))</f>
        <v/>
      </c>
    </row>
    <row r="264" spans="3:4" x14ac:dyDescent="0.25">
      <c r="C264" s="8" t="str">
        <f>IF(B264="","",RTD("octo.rtdserver","",B264,VLOOKUP($C$9,Plan3!$B:$C,2,0)))</f>
        <v/>
      </c>
      <c r="D264" s="8" t="str">
        <f>IF(B264="","",RTD("octo.rtdserver","",B264,VLOOKUP($D$9,Plan3!B:C,2,0)))</f>
        <v/>
      </c>
    </row>
    <row r="265" spans="3:4" x14ac:dyDescent="0.25">
      <c r="C265" s="8" t="str">
        <f>IF(B265="","",RTD("octo.rtdserver","",B265,VLOOKUP($C$9,Plan3!$B:$C,2,0)))</f>
        <v/>
      </c>
      <c r="D265" s="8" t="str">
        <f>IF(B265="","",RTD("octo.rtdserver","",B265,VLOOKUP($D$9,Plan3!B:C,2,0)))</f>
        <v/>
      </c>
    </row>
    <row r="266" spans="3:4" x14ac:dyDescent="0.25">
      <c r="C266" s="8" t="str">
        <f>IF(B266="","",RTD("octo.rtdserver","",B266,VLOOKUP($C$9,Plan3!$B:$C,2,0)))</f>
        <v/>
      </c>
      <c r="D266" s="8" t="str">
        <f>IF(B266="","",RTD("octo.rtdserver","",B266,VLOOKUP($D$9,Plan3!B:C,2,0)))</f>
        <v/>
      </c>
    </row>
    <row r="267" spans="3:4" x14ac:dyDescent="0.25">
      <c r="C267" s="8" t="str">
        <f>IF(B267="","",RTD("octo.rtdserver","",B267,VLOOKUP($C$9,Plan3!$B:$C,2,0)))</f>
        <v/>
      </c>
      <c r="D267" s="8" t="str">
        <f>IF(B267="","",RTD("octo.rtdserver","",B267,VLOOKUP($D$9,Plan3!B:C,2,0)))</f>
        <v/>
      </c>
    </row>
    <row r="268" spans="3:4" x14ac:dyDescent="0.25">
      <c r="C268" s="8" t="str">
        <f>IF(B268="","",RTD("octo.rtdserver","",B268,VLOOKUP($C$9,Plan3!$B:$C,2,0)))</f>
        <v/>
      </c>
      <c r="D268" s="8" t="str">
        <f>IF(B268="","",RTD("octo.rtdserver","",B268,VLOOKUP($D$9,Plan3!B:C,2,0)))</f>
        <v/>
      </c>
    </row>
    <row r="269" spans="3:4" x14ac:dyDescent="0.25">
      <c r="C269" s="8" t="str">
        <f>IF(B269="","",RTD("octo.rtdserver","",B269,VLOOKUP($C$9,Plan3!$B:$C,2,0)))</f>
        <v/>
      </c>
      <c r="D269" s="8" t="str">
        <f>IF(B269="","",RTD("octo.rtdserver","",B269,VLOOKUP($D$9,Plan3!B:C,2,0)))</f>
        <v/>
      </c>
    </row>
    <row r="270" spans="3:4" x14ac:dyDescent="0.25">
      <c r="C270" s="8" t="str">
        <f>IF(B270="","",RTD("octo.rtdserver","",B270,VLOOKUP($C$9,Plan3!$B:$C,2,0)))</f>
        <v/>
      </c>
      <c r="D270" s="8" t="str">
        <f>IF(B270="","",RTD("octo.rtdserver","",B270,VLOOKUP($D$9,Plan3!B:C,2,0)))</f>
        <v/>
      </c>
    </row>
    <row r="271" spans="3:4" x14ac:dyDescent="0.25">
      <c r="C271" s="8" t="str">
        <f>IF(B271="","",RTD("octo.rtdserver","",B271,VLOOKUP($C$9,Plan3!$B:$C,2,0)))</f>
        <v/>
      </c>
      <c r="D271" s="8" t="str">
        <f>IF(B271="","",RTD("octo.rtdserver","",B271,VLOOKUP($D$9,Plan3!B:C,2,0)))</f>
        <v/>
      </c>
    </row>
    <row r="272" spans="3:4" x14ac:dyDescent="0.25">
      <c r="C272" s="8" t="str">
        <f>IF(B272="","",RTD("octo.rtdserver","",B272,VLOOKUP($C$9,Plan3!$B:$C,2,0)))</f>
        <v/>
      </c>
      <c r="D272" s="8" t="str">
        <f>IF(B272="","",RTD("octo.rtdserver","",B272,VLOOKUP($D$9,Plan3!B:C,2,0)))</f>
        <v/>
      </c>
    </row>
    <row r="273" spans="3:4" x14ac:dyDescent="0.25">
      <c r="C273" s="8" t="str">
        <f>IF(B273="","",RTD("octo.rtdserver","",B273,VLOOKUP($C$9,Plan3!$B:$C,2,0)))</f>
        <v/>
      </c>
      <c r="D273" s="8" t="str">
        <f>IF(B273="","",RTD("octo.rtdserver","",B273,VLOOKUP($D$9,Plan3!B:C,2,0)))</f>
        <v/>
      </c>
    </row>
    <row r="274" spans="3:4" x14ac:dyDescent="0.25">
      <c r="C274" s="8" t="str">
        <f>IF(B274="","",RTD("octo.rtdserver","",B274,VLOOKUP($C$9,Plan3!$B:$C,2,0)))</f>
        <v/>
      </c>
      <c r="D274" s="8" t="str">
        <f>IF(B274="","",RTD("octo.rtdserver","",B274,VLOOKUP($D$9,Plan3!B:C,2,0)))</f>
        <v/>
      </c>
    </row>
    <row r="275" spans="3:4" x14ac:dyDescent="0.25">
      <c r="C275" s="8" t="str">
        <f>IF(B275="","",RTD("octo.rtdserver","",B275,VLOOKUP($C$9,Plan3!$B:$C,2,0)))</f>
        <v/>
      </c>
      <c r="D275" s="8" t="str">
        <f>IF(B275="","",RTD("octo.rtdserver","",B275,VLOOKUP($D$9,Plan3!B:C,2,0)))</f>
        <v/>
      </c>
    </row>
    <row r="276" spans="3:4" x14ac:dyDescent="0.25">
      <c r="C276" s="8" t="str">
        <f>IF(B276="","",RTD("octo.rtdserver","",B276,VLOOKUP($C$9,Plan3!$B:$C,2,0)))</f>
        <v/>
      </c>
      <c r="D276" s="8" t="str">
        <f>IF(B276="","",RTD("octo.rtdserver","",B276,VLOOKUP($D$9,Plan3!B:C,2,0)))</f>
        <v/>
      </c>
    </row>
    <row r="277" spans="3:4" x14ac:dyDescent="0.25">
      <c r="C277" s="8" t="str">
        <f>IF(B277="","",RTD("octo.rtdserver","",B277,VLOOKUP($C$9,Plan3!$B:$C,2,0)))</f>
        <v/>
      </c>
      <c r="D277" s="8" t="str">
        <f>IF(B277="","",RTD("octo.rtdserver","",B277,VLOOKUP($D$9,Plan3!B:C,2,0)))</f>
        <v/>
      </c>
    </row>
    <row r="278" spans="3:4" x14ac:dyDescent="0.25">
      <c r="C278" s="8" t="str">
        <f>IF(B278="","",RTD("octo.rtdserver","",B278,VLOOKUP($C$9,Plan3!$B:$C,2,0)))</f>
        <v/>
      </c>
      <c r="D278" s="8" t="str">
        <f>IF(B278="","",RTD("octo.rtdserver","",B278,VLOOKUP($D$9,Plan3!B:C,2,0)))</f>
        <v/>
      </c>
    </row>
    <row r="279" spans="3:4" x14ac:dyDescent="0.25">
      <c r="C279" s="8" t="str">
        <f>IF(B279="","",RTD("octo.rtdserver","",B279,VLOOKUP($C$9,Plan3!$B:$C,2,0)))</f>
        <v/>
      </c>
      <c r="D279" s="8" t="str">
        <f>IF(B279="","",RTD("octo.rtdserver","",B279,VLOOKUP($D$9,Plan3!B:C,2,0)))</f>
        <v/>
      </c>
    </row>
    <row r="280" spans="3:4" x14ac:dyDescent="0.25">
      <c r="C280" s="8" t="str">
        <f>IF(B280="","",RTD("octo.rtdserver","",B280,VLOOKUP($C$9,Plan3!$B:$C,2,0)))</f>
        <v/>
      </c>
      <c r="D280" s="8" t="str">
        <f>IF(B280="","",RTD("octo.rtdserver","",B280,VLOOKUP($D$9,Plan3!B:C,2,0)))</f>
        <v/>
      </c>
    </row>
    <row r="281" spans="3:4" x14ac:dyDescent="0.25">
      <c r="C281" s="8" t="str">
        <f>IF(B281="","",RTD("octo.rtdserver","",B281,VLOOKUP($C$9,Plan3!$B:$C,2,0)))</f>
        <v/>
      </c>
      <c r="D281" s="8" t="str">
        <f>IF(B281="","",RTD("octo.rtdserver","",B281,VLOOKUP($D$9,Plan3!B:C,2,0)))</f>
        <v/>
      </c>
    </row>
    <row r="282" spans="3:4" x14ac:dyDescent="0.25">
      <c r="C282" s="8" t="str">
        <f>IF(B282="","",RTD("octo.rtdserver","",B282,VLOOKUP($C$9,Plan3!$B:$C,2,0)))</f>
        <v/>
      </c>
      <c r="D282" s="8" t="str">
        <f>IF(B282="","",RTD("octo.rtdserver","",B282,VLOOKUP($D$9,Plan3!B:C,2,0)))</f>
        <v/>
      </c>
    </row>
    <row r="283" spans="3:4" x14ac:dyDescent="0.25">
      <c r="C283" s="8" t="str">
        <f>IF(B283="","",RTD("octo.rtdserver","",B283,VLOOKUP($C$9,Plan3!$B:$C,2,0)))</f>
        <v/>
      </c>
      <c r="D283" s="8" t="str">
        <f>IF(B283="","",RTD("octo.rtdserver","",B283,VLOOKUP($D$9,Plan3!B:C,2,0)))</f>
        <v/>
      </c>
    </row>
    <row r="284" spans="3:4" x14ac:dyDescent="0.25">
      <c r="C284" s="8" t="str">
        <f>IF(B284="","",RTD("octo.rtdserver","",B284,VLOOKUP($C$9,Plan3!$B:$C,2,0)))</f>
        <v/>
      </c>
      <c r="D284" s="8" t="str">
        <f>IF(B284="","",RTD("octo.rtdserver","",B284,VLOOKUP($D$9,Plan3!B:C,2,0)))</f>
        <v/>
      </c>
    </row>
    <row r="285" spans="3:4" x14ac:dyDescent="0.25">
      <c r="C285" s="8" t="str">
        <f>IF(B285="","",RTD("octo.rtdserver","",B285,VLOOKUP($C$9,Plan3!$B:$C,2,0)))</f>
        <v/>
      </c>
      <c r="D285" s="8" t="str">
        <f>IF(B285="","",RTD("octo.rtdserver","",B285,VLOOKUP($D$9,Plan3!B:C,2,0)))</f>
        <v/>
      </c>
    </row>
    <row r="286" spans="3:4" x14ac:dyDescent="0.25">
      <c r="C286" s="8" t="str">
        <f>IF(B286="","",RTD("octo.rtdserver","",B286,VLOOKUP($C$9,Plan3!$B:$C,2,0)))</f>
        <v/>
      </c>
      <c r="D286" s="8" t="str">
        <f>IF(B286="","",RTD("octo.rtdserver","",B286,VLOOKUP($D$9,Plan3!B:C,2,0)))</f>
        <v/>
      </c>
    </row>
    <row r="287" spans="3:4" x14ac:dyDescent="0.25">
      <c r="C287" s="8" t="str">
        <f>IF(B287="","",RTD("octo.rtdserver","",B287,VLOOKUP($C$9,Plan3!$B:$C,2,0)))</f>
        <v/>
      </c>
      <c r="D287" s="8" t="str">
        <f>IF(B287="","",RTD("octo.rtdserver","",B287,VLOOKUP($D$9,Plan3!B:C,2,0)))</f>
        <v/>
      </c>
    </row>
    <row r="288" spans="3:4" x14ac:dyDescent="0.25">
      <c r="C288" s="8" t="str">
        <f>IF(B288="","",RTD("octo.rtdserver","",B288,VLOOKUP($C$9,Plan3!$B:$C,2,0)))</f>
        <v/>
      </c>
      <c r="D288" s="8" t="str">
        <f>IF(B288="","",RTD("octo.rtdserver","",B288,VLOOKUP($D$9,Plan3!B:C,2,0)))</f>
        <v/>
      </c>
    </row>
    <row r="289" spans="3:4" x14ac:dyDescent="0.25">
      <c r="C289" s="8" t="str">
        <f>IF(B289="","",RTD("octo.rtdserver","",B289,VLOOKUP($C$9,Plan3!$B:$C,2,0)))</f>
        <v/>
      </c>
      <c r="D289" s="8" t="str">
        <f>IF(B289="","",RTD("octo.rtdserver","",B289,VLOOKUP($D$9,Plan3!B:C,2,0)))</f>
        <v/>
      </c>
    </row>
    <row r="290" spans="3:4" x14ac:dyDescent="0.25">
      <c r="C290" s="8" t="str">
        <f>IF(B290="","",RTD("octo.rtdserver","",B290,VLOOKUP($C$9,Plan3!$B:$C,2,0)))</f>
        <v/>
      </c>
      <c r="D290" s="8" t="str">
        <f>IF(B290="","",RTD("octo.rtdserver","",B290,VLOOKUP($D$9,Plan3!B:C,2,0)))</f>
        <v/>
      </c>
    </row>
    <row r="291" spans="3:4" x14ac:dyDescent="0.25">
      <c r="C291" s="8" t="str">
        <f>IF(B291="","",RTD("octo.rtdserver","",B291,VLOOKUP($C$9,Plan3!$B:$C,2,0)))</f>
        <v/>
      </c>
      <c r="D291" s="8" t="str">
        <f>IF(B291="","",RTD("octo.rtdserver","",B291,VLOOKUP($D$9,Plan3!B:C,2,0)))</f>
        <v/>
      </c>
    </row>
    <row r="292" spans="3:4" x14ac:dyDescent="0.25">
      <c r="C292" s="8" t="str">
        <f>IF(B292="","",RTD("octo.rtdserver","",B292,VLOOKUP($C$9,Plan3!$B:$C,2,0)))</f>
        <v/>
      </c>
      <c r="D292" s="8" t="str">
        <f>IF(B292="","",RTD("octo.rtdserver","",B292,VLOOKUP($D$9,Plan3!B:C,2,0)))</f>
        <v/>
      </c>
    </row>
    <row r="293" spans="3:4" x14ac:dyDescent="0.25">
      <c r="C293" s="8" t="str">
        <f>IF(B293="","",RTD("octo.rtdserver","",B293,VLOOKUP($C$9,Plan3!$B:$C,2,0)))</f>
        <v/>
      </c>
      <c r="D293" s="8" t="str">
        <f>IF(B293="","",RTD("octo.rtdserver","",B293,VLOOKUP($D$9,Plan3!B:C,2,0)))</f>
        <v/>
      </c>
    </row>
    <row r="294" spans="3:4" x14ac:dyDescent="0.25">
      <c r="C294" s="8" t="str">
        <f>IF(B294="","",RTD("octo.rtdserver","",B294,VLOOKUP($C$9,Plan3!$B:$C,2,0)))</f>
        <v/>
      </c>
      <c r="D294" s="8" t="str">
        <f>IF(B294="","",RTD("octo.rtdserver","",B294,VLOOKUP($D$9,Plan3!B:C,2,0)))</f>
        <v/>
      </c>
    </row>
    <row r="295" spans="3:4" x14ac:dyDescent="0.25">
      <c r="C295" s="8" t="str">
        <f>IF(B295="","",RTD("octo.rtdserver","",B295,VLOOKUP($C$9,Plan3!$B:$C,2,0)))</f>
        <v/>
      </c>
      <c r="D295" s="8" t="str">
        <f>IF(B295="","",RTD("octo.rtdserver","",B295,VLOOKUP($D$9,Plan3!B:C,2,0)))</f>
        <v/>
      </c>
    </row>
    <row r="296" spans="3:4" x14ac:dyDescent="0.25">
      <c r="C296" s="8" t="str">
        <f>IF(B296="","",RTD("octo.rtdserver","",B296,VLOOKUP($C$9,Plan3!$B:$C,2,0)))</f>
        <v/>
      </c>
      <c r="D296" s="8" t="str">
        <f>IF(B296="","",RTD("octo.rtdserver","",B296,VLOOKUP($D$9,Plan3!B:C,2,0)))</f>
        <v/>
      </c>
    </row>
    <row r="297" spans="3:4" x14ac:dyDescent="0.25">
      <c r="C297" s="8" t="str">
        <f>IF(B297="","",RTD("octo.rtdserver","",B297,VLOOKUP($C$9,Plan3!$B:$C,2,0)))</f>
        <v/>
      </c>
      <c r="D297" s="8" t="str">
        <f>IF(B297="","",RTD("octo.rtdserver","",B297,VLOOKUP($D$9,Plan3!B:C,2,0)))</f>
        <v/>
      </c>
    </row>
    <row r="298" spans="3:4" x14ac:dyDescent="0.25">
      <c r="C298" s="8" t="str">
        <f>IF(B298="","",RTD("octo.rtdserver","",B298,VLOOKUP($C$9,Plan3!$B:$C,2,0)))</f>
        <v/>
      </c>
      <c r="D298" s="8" t="str">
        <f>IF(B298="","",RTD("octo.rtdserver","",B298,VLOOKUP($D$9,Plan3!B:C,2,0)))</f>
        <v/>
      </c>
    </row>
    <row r="299" spans="3:4" x14ac:dyDescent="0.25">
      <c r="C299" s="8" t="str">
        <f>IF(B299="","",RTD("octo.rtdserver","",B299,VLOOKUP($C$9,Plan3!$B:$C,2,0)))</f>
        <v/>
      </c>
      <c r="D299" s="8" t="str">
        <f>IF(B299="","",RTD("octo.rtdserver","",B299,VLOOKUP($D$9,Plan3!B:C,2,0)))</f>
        <v/>
      </c>
    </row>
    <row r="300" spans="3:4" x14ac:dyDescent="0.25"/>
    <row r="301" spans="3:4" hidden="1" x14ac:dyDescent="0.25"/>
    <row r="302" spans="3:4" hidden="1" x14ac:dyDescent="0.25"/>
    <row r="303" spans="3:4" hidden="1" x14ac:dyDescent="0.25"/>
    <row r="304" spans="3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</sheetData>
  <sheetProtection algorithmName="SHA-512" hashValue="x+ORelsYhHb6ugLHBOGt4zvWcic/nQq5vntoI/vNWIZkwXFbTEqfc92/ZW4Uz2vnEnb+HU8p3jcoPuBLA3Q4jQ==" saltValue="zf9WgLIKn7OklQiY5VdmLA==" spinCount="100000" sheet="1" objects="1" scenarios="1" formatCells="0" formatColumns="0" formatRows="0" insertColumns="0" insertRows="0" insertHyperlinks="0" deleteColumns="0" deleteRows="0" sort="0" autoFilter="0" pivotTables="0"/>
  <protectedRanges>
    <protectedRange sqref="B10:B228 B9:K9" name="Intervalo1"/>
  </protectedRanges>
  <mergeCells count="1">
    <mergeCell ref="C2:K4"/>
  </mergeCells>
  <dataValidations count="1">
    <dataValidation type="list" allowBlank="1" showInputMessage="1" showErrorMessage="1" sqref="C9:K9" xr:uid="{00000000-0002-0000-0300-000000000000}">
      <formula1>lista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voltar">
                <anchor moveWithCells="1" sizeWithCells="1">
                  <from>
                    <xdr:col>9</xdr:col>
                    <xdr:colOff>857250</xdr:colOff>
                    <xdr:row>3</xdr:row>
                    <xdr:rowOff>57150</xdr:rowOff>
                  </from>
                  <to>
                    <xdr:col>10</xdr:col>
                    <xdr:colOff>723900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Macro1">
                <anchor moveWithCells="1" sizeWithCells="1">
                  <from>
                    <xdr:col>9</xdr:col>
                    <xdr:colOff>866775</xdr:colOff>
                    <xdr:row>5</xdr:row>
                    <xdr:rowOff>19050</xdr:rowOff>
                  </from>
                  <to>
                    <xdr:col>10</xdr:col>
                    <xdr:colOff>733425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Pos">
                <anchor moveWithCells="1" sizeWithCells="1">
                  <from>
                    <xdr:col>10</xdr:col>
                    <xdr:colOff>895350</xdr:colOff>
                    <xdr:row>3</xdr:row>
                    <xdr:rowOff>57150</xdr:rowOff>
                  </from>
                  <to>
                    <xdr:col>11</xdr:col>
                    <xdr:colOff>523875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IRDayTrade">
                <anchor moveWithCells="1" sizeWithCells="1">
                  <from>
                    <xdr:col>10</xdr:col>
                    <xdr:colOff>904875</xdr:colOff>
                    <xdr:row>5</xdr:row>
                    <xdr:rowOff>19050</xdr:rowOff>
                  </from>
                  <to>
                    <xdr:col>11</xdr:col>
                    <xdr:colOff>533400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B1:N402"/>
  <sheetViews>
    <sheetView topLeftCell="A16" workbookViewId="0">
      <selection activeCell="E27" sqref="E27"/>
    </sheetView>
  </sheetViews>
  <sheetFormatPr defaultRowHeight="15" x14ac:dyDescent="0.25"/>
  <cols>
    <col min="2" max="2" width="14.85546875" customWidth="1"/>
    <col min="4" max="5" width="10.7109375" bestFit="1" customWidth="1"/>
    <col min="6" max="6" width="10.85546875" bestFit="1" customWidth="1"/>
    <col min="9" max="9" width="11.42578125" bestFit="1" customWidth="1"/>
    <col min="13" max="13" width="13.28515625" bestFit="1" customWidth="1"/>
  </cols>
  <sheetData>
    <row r="1" spans="2:14" x14ac:dyDescent="0.25">
      <c r="B1" t="s">
        <v>8</v>
      </c>
      <c r="C1">
        <v>18</v>
      </c>
    </row>
    <row r="2" spans="2:14" x14ac:dyDescent="0.25">
      <c r="B2" t="s">
        <v>9</v>
      </c>
      <c r="C2">
        <v>19</v>
      </c>
    </row>
    <row r="3" spans="2:14" x14ac:dyDescent="0.25">
      <c r="B3" t="s">
        <v>7</v>
      </c>
      <c r="C3">
        <v>23</v>
      </c>
    </row>
    <row r="4" spans="2:14" x14ac:dyDescent="0.25">
      <c r="B4" t="s">
        <v>10</v>
      </c>
      <c r="C4">
        <v>24</v>
      </c>
    </row>
    <row r="5" spans="2:14" x14ac:dyDescent="0.25">
      <c r="B5" t="s">
        <v>12</v>
      </c>
      <c r="C5">
        <v>27</v>
      </c>
      <c r="K5" t="str">
        <f>IF('Posição de Custódia'!B11="","",'Posição de Custódia'!B11)</f>
        <v>itsa4</v>
      </c>
      <c r="L5" s="4">
        <f>IF('Posição de Custódia'!D11="","",'Posição de Custódia'!D11)</f>
        <v>10000</v>
      </c>
      <c r="M5" s="3" t="str">
        <f>IFERROR('Posição de Custódia'!F11*'Posição de Custódia'!D11,"")</f>
        <v/>
      </c>
      <c r="N5" s="24" t="str">
        <f>IFERROR(M5/$M$30,"")</f>
        <v/>
      </c>
    </row>
    <row r="6" spans="2:14" x14ac:dyDescent="0.25">
      <c r="B6" t="s">
        <v>20</v>
      </c>
      <c r="C6">
        <v>28</v>
      </c>
      <c r="F6" t="s">
        <v>55</v>
      </c>
      <c r="K6" t="str">
        <f>IF('Posição de Custódia'!B12="","",'Posição de Custódia'!B12)</f>
        <v>bbas3</v>
      </c>
      <c r="L6" s="4">
        <f>IF('Posição de Custódia'!D12="","",'Posição de Custódia'!D12)</f>
        <v>200</v>
      </c>
      <c r="M6" s="3" t="str">
        <f>IFERROR('Posição de Custódia'!F12*'Posição de Custódia'!D12,"")</f>
        <v/>
      </c>
      <c r="N6" s="24" t="str">
        <f t="shared" ref="N6:N29" si="0">IFERROR(M6/$M$30,"")</f>
        <v/>
      </c>
    </row>
    <row r="7" spans="2:14" x14ac:dyDescent="0.25">
      <c r="B7" t="s">
        <v>21</v>
      </c>
      <c r="C7">
        <v>30</v>
      </c>
      <c r="F7" t="s">
        <v>56</v>
      </c>
      <c r="K7" t="str">
        <f>IF('Posição de Custódia'!B13="","",'Posição de Custódia'!B13)</f>
        <v>petr4</v>
      </c>
      <c r="L7" s="4">
        <f>IF('Posição de Custódia'!D13="","",'Posição de Custódia'!D13)</f>
        <v>5000</v>
      </c>
      <c r="M7" s="3" t="str">
        <f>IFERROR('Posição de Custódia'!F13*'Posição de Custódia'!D13,"")</f>
        <v/>
      </c>
      <c r="N7" s="24" t="str">
        <f t="shared" si="0"/>
        <v/>
      </c>
    </row>
    <row r="8" spans="2:14" x14ac:dyDescent="0.25">
      <c r="B8" t="s">
        <v>22</v>
      </c>
      <c r="C8">
        <v>31</v>
      </c>
      <c r="K8" t="str">
        <f>IF('Posição de Custódia'!B14="","",'Posição de Custódia'!B14)</f>
        <v>RAIL3</v>
      </c>
      <c r="L8" s="4">
        <f>IF('Posição de Custódia'!D14="","",'Posição de Custódia'!D14)</f>
        <v>20000</v>
      </c>
      <c r="M8" s="3" t="str">
        <f>IFERROR('Posição de Custódia'!F14*'Posição de Custódia'!D14,"")</f>
        <v/>
      </c>
      <c r="N8" s="24" t="str">
        <f t="shared" si="0"/>
        <v/>
      </c>
    </row>
    <row r="9" spans="2:14" x14ac:dyDescent="0.25">
      <c r="B9" t="s">
        <v>23</v>
      </c>
      <c r="C9">
        <v>32</v>
      </c>
      <c r="K9" t="str">
        <f>IF('Posição de Custódia'!B15="","",'Posição de Custódia'!B15)</f>
        <v/>
      </c>
      <c r="L9" s="4" t="str">
        <f>IF('Posição de Custódia'!D15="","",'Posição de Custódia'!D15)</f>
        <v/>
      </c>
      <c r="M9" s="3" t="str">
        <f>IFERROR('Posição de Custódia'!F15*'Posição de Custódia'!D15,"")</f>
        <v/>
      </c>
      <c r="N9" s="24" t="str">
        <f t="shared" si="0"/>
        <v/>
      </c>
    </row>
    <row r="10" spans="2:14" x14ac:dyDescent="0.25">
      <c r="B10" t="s">
        <v>24</v>
      </c>
      <c r="C10">
        <v>42</v>
      </c>
      <c r="K10" t="str">
        <f>IF('Posição de Custódia'!B16="","",'Posição de Custódia'!B16)</f>
        <v/>
      </c>
      <c r="L10" s="4" t="str">
        <f>IF('Posição de Custódia'!D16="","",'Posição de Custódia'!D16)</f>
        <v/>
      </c>
      <c r="M10" s="3" t="str">
        <f>IFERROR('Posição de Custódia'!F16*'Posição de Custódia'!D16,"")</f>
        <v/>
      </c>
      <c r="N10" s="24" t="str">
        <f t="shared" si="0"/>
        <v/>
      </c>
    </row>
    <row r="11" spans="2:14" x14ac:dyDescent="0.25">
      <c r="B11" t="s">
        <v>25</v>
      </c>
      <c r="C11">
        <v>53</v>
      </c>
      <c r="F11" t="s">
        <v>65</v>
      </c>
      <c r="K11" t="str">
        <f>IF('Posição de Custódia'!B17="","",'Posição de Custódia'!B17)</f>
        <v/>
      </c>
      <c r="L11" s="4" t="str">
        <f>IF('Posição de Custódia'!D17="","",'Posição de Custódia'!D17)</f>
        <v/>
      </c>
      <c r="M11" s="3" t="str">
        <f>IFERROR('Posição de Custódia'!F17*'Posição de Custódia'!D17,"")</f>
        <v/>
      </c>
      <c r="N11" s="24" t="str">
        <f t="shared" si="0"/>
        <v/>
      </c>
    </row>
    <row r="12" spans="2:14" x14ac:dyDescent="0.25">
      <c r="B12" t="s">
        <v>11</v>
      </c>
      <c r="C12">
        <v>56</v>
      </c>
      <c r="F12" t="s">
        <v>66</v>
      </c>
      <c r="K12" t="str">
        <f>IF('Posição de Custódia'!B18="","",'Posição de Custódia'!B18)</f>
        <v/>
      </c>
      <c r="L12" s="4" t="str">
        <f>IF('Posição de Custódia'!D18="","",'Posição de Custódia'!D18)</f>
        <v/>
      </c>
      <c r="M12" s="3" t="str">
        <f>IFERROR('Posição de Custódia'!F18*'Posição de Custódia'!D18,"")</f>
        <v/>
      </c>
      <c r="N12" s="24" t="str">
        <f t="shared" si="0"/>
        <v/>
      </c>
    </row>
    <row r="13" spans="2:14" x14ac:dyDescent="0.25">
      <c r="B13" t="s">
        <v>26</v>
      </c>
      <c r="C13">
        <v>57</v>
      </c>
      <c r="F13" t="s">
        <v>68</v>
      </c>
      <c r="K13" t="str">
        <f>IF('Posição de Custódia'!B19="","",'Posição de Custódia'!B19)</f>
        <v/>
      </c>
      <c r="L13" s="4" t="str">
        <f>IF('Posição de Custódia'!D19="","",'Posição de Custódia'!D19)</f>
        <v/>
      </c>
      <c r="M13" s="3" t="str">
        <f>IFERROR('Posição de Custódia'!F19*'Posição de Custódia'!D19,"")</f>
        <v/>
      </c>
      <c r="N13" s="24" t="str">
        <f t="shared" si="0"/>
        <v/>
      </c>
    </row>
    <row r="14" spans="2:14" x14ac:dyDescent="0.25">
      <c r="B14" t="s">
        <v>27</v>
      </c>
      <c r="C14">
        <v>59</v>
      </c>
      <c r="F14" t="s">
        <v>69</v>
      </c>
      <c r="K14" t="str">
        <f>IF('Posição de Custódia'!B20="","",'Posição de Custódia'!B20)</f>
        <v/>
      </c>
      <c r="L14" s="4" t="str">
        <f>IF('Posição de Custódia'!D20="","",'Posição de Custódia'!D20)</f>
        <v/>
      </c>
      <c r="M14" s="3" t="str">
        <f>IFERROR('Posição de Custódia'!F20*'Posição de Custódia'!D20,"")</f>
        <v/>
      </c>
      <c r="N14" s="24" t="str">
        <f t="shared" si="0"/>
        <v/>
      </c>
    </row>
    <row r="15" spans="2:14" x14ac:dyDescent="0.25">
      <c r="B15" t="s">
        <v>28</v>
      </c>
      <c r="C15">
        <v>60</v>
      </c>
      <c r="F15" t="s">
        <v>70</v>
      </c>
      <c r="K15" t="str">
        <f>IF('Posição de Custódia'!B21="","",'Posição de Custódia'!B21)</f>
        <v/>
      </c>
      <c r="L15" s="4" t="str">
        <f>IF('Posição de Custódia'!D21="","",'Posição de Custódia'!D21)</f>
        <v/>
      </c>
      <c r="M15" s="3" t="str">
        <f>IFERROR('Posição de Custódia'!F21*'Posição de Custódia'!D21,"")</f>
        <v/>
      </c>
      <c r="N15" s="24" t="str">
        <f t="shared" si="0"/>
        <v/>
      </c>
    </row>
    <row r="16" spans="2:14" x14ac:dyDescent="0.25">
      <c r="B16" t="s">
        <v>29</v>
      </c>
      <c r="C16">
        <v>61</v>
      </c>
      <c r="F16" t="s">
        <v>71</v>
      </c>
      <c r="K16" t="str">
        <f>IF('Posição de Custódia'!B22="","",'Posição de Custódia'!B22)</f>
        <v/>
      </c>
      <c r="L16" s="4" t="str">
        <f>IF('Posição de Custódia'!D22="","",'Posição de Custódia'!D22)</f>
        <v/>
      </c>
      <c r="M16" s="3" t="str">
        <f>IFERROR('Posição de Custódia'!F22*'Posição de Custódia'!D22,"")</f>
        <v/>
      </c>
      <c r="N16" s="24" t="str">
        <f t="shared" si="0"/>
        <v/>
      </c>
    </row>
    <row r="17" spans="2:14" x14ac:dyDescent="0.25">
      <c r="B17" t="s">
        <v>30</v>
      </c>
      <c r="C17">
        <v>62</v>
      </c>
      <c r="K17" t="str">
        <f>IF('Posição de Custódia'!B23="","",'Posição de Custódia'!B23)</f>
        <v/>
      </c>
      <c r="L17" s="4" t="str">
        <f>IF('Posição de Custódia'!D23="","",'Posição de Custódia'!D23)</f>
        <v/>
      </c>
      <c r="M17" s="3" t="str">
        <f>IFERROR('Posição de Custódia'!F23*'Posição de Custódia'!D23,"")</f>
        <v/>
      </c>
      <c r="N17" s="24" t="str">
        <f t="shared" si="0"/>
        <v/>
      </c>
    </row>
    <row r="18" spans="2:14" x14ac:dyDescent="0.25">
      <c r="B18" t="s">
        <v>31</v>
      </c>
      <c r="C18">
        <v>64</v>
      </c>
      <c r="K18" t="str">
        <f>IF('Posição de Custódia'!B24="","",'Posição de Custódia'!B24)</f>
        <v/>
      </c>
      <c r="L18" s="4" t="str">
        <f>IF('Posição de Custódia'!D24="","",'Posição de Custódia'!D24)</f>
        <v/>
      </c>
      <c r="M18" s="3" t="str">
        <f>IFERROR('Posição de Custódia'!F24*'Posição de Custódia'!D24,"")</f>
        <v/>
      </c>
      <c r="N18" s="24" t="str">
        <f t="shared" si="0"/>
        <v/>
      </c>
    </row>
    <row r="19" spans="2:14" x14ac:dyDescent="0.25">
      <c r="B19" t="s">
        <v>32</v>
      </c>
      <c r="C19">
        <v>65</v>
      </c>
      <c r="K19" t="str">
        <f>IF('Posição de Custódia'!B25="","",'Posição de Custódia'!B25)</f>
        <v/>
      </c>
      <c r="L19" s="4" t="str">
        <f>IF('Posição de Custódia'!D25="","",'Posição de Custódia'!D25)</f>
        <v/>
      </c>
      <c r="M19" s="3" t="str">
        <f>IFERROR('Posição de Custódia'!F25*'Posição de Custódia'!D25,"")</f>
        <v/>
      </c>
      <c r="N19" s="24" t="str">
        <f t="shared" si="0"/>
        <v/>
      </c>
    </row>
    <row r="20" spans="2:14" x14ac:dyDescent="0.25">
      <c r="B20" t="s">
        <v>33</v>
      </c>
      <c r="C20">
        <v>67</v>
      </c>
      <c r="K20" t="str">
        <f>IF('Posição de Custódia'!B26="","",'Posição de Custódia'!B26)</f>
        <v/>
      </c>
      <c r="L20" s="4" t="str">
        <f>IF('Posição de Custódia'!D26="","",'Posição de Custódia'!D26)</f>
        <v/>
      </c>
      <c r="M20" s="3" t="str">
        <f>IFERROR('Posição de Custódia'!F26*'Posição de Custódia'!D26,"")</f>
        <v/>
      </c>
      <c r="N20" s="24" t="str">
        <f t="shared" si="0"/>
        <v/>
      </c>
    </row>
    <row r="21" spans="2:14" x14ac:dyDescent="0.25">
      <c r="B21" t="s">
        <v>34</v>
      </c>
      <c r="C21">
        <v>68</v>
      </c>
      <c r="K21" t="str">
        <f>IF('Posição de Custódia'!B27="","",'Posição de Custódia'!B27)</f>
        <v/>
      </c>
      <c r="L21" s="4" t="str">
        <f>IF('Posição de Custódia'!D27="","",'Posição de Custódia'!D27)</f>
        <v/>
      </c>
      <c r="M21" s="3" t="str">
        <f>IFERROR('Posição de Custódia'!F27*'Posição de Custódia'!D27,"")</f>
        <v/>
      </c>
      <c r="N21" s="24" t="str">
        <f t="shared" si="0"/>
        <v/>
      </c>
    </row>
    <row r="22" spans="2:14" x14ac:dyDescent="0.25">
      <c r="B22" t="s">
        <v>35</v>
      </c>
      <c r="C22">
        <v>69</v>
      </c>
      <c r="K22" t="str">
        <f>IF('Posição de Custódia'!B28="","",'Posição de Custódia'!B28)</f>
        <v/>
      </c>
      <c r="L22" s="4" t="str">
        <f>IF('Posição de Custódia'!D28="","",'Posição de Custódia'!D28)</f>
        <v/>
      </c>
      <c r="M22" s="3" t="str">
        <f>IFERROR('Posição de Custódia'!F28*'Posição de Custódia'!D28,"")</f>
        <v/>
      </c>
      <c r="N22" s="24" t="str">
        <f t="shared" si="0"/>
        <v/>
      </c>
    </row>
    <row r="23" spans="2:14" x14ac:dyDescent="0.25">
      <c r="B23" t="s">
        <v>36</v>
      </c>
      <c r="C23">
        <v>70</v>
      </c>
      <c r="K23" t="str">
        <f>IF('Posição de Custódia'!B29="","",'Posição de Custódia'!B29)</f>
        <v/>
      </c>
      <c r="L23" s="4" t="str">
        <f>IF('Posição de Custódia'!D29="","",'Posição de Custódia'!D29)</f>
        <v/>
      </c>
      <c r="M23" s="3" t="str">
        <f>IFERROR('Posição de Custódia'!F29*'Posição de Custódia'!D29,"")</f>
        <v/>
      </c>
      <c r="N23" s="24" t="str">
        <f t="shared" si="0"/>
        <v/>
      </c>
    </row>
    <row r="24" spans="2:14" x14ac:dyDescent="0.25">
      <c r="B24" t="s">
        <v>37</v>
      </c>
      <c r="C24">
        <v>71</v>
      </c>
      <c r="K24" t="str">
        <f>IF('Posição de Custódia'!B30="","",'Posição de Custódia'!B30)</f>
        <v/>
      </c>
      <c r="L24" s="4" t="str">
        <f>IF('Posição de Custódia'!D30="","",'Posição de Custódia'!D30)</f>
        <v/>
      </c>
      <c r="M24" s="3" t="str">
        <f>IFERROR('Posição de Custódia'!F30*'Posição de Custódia'!D30,"")</f>
        <v/>
      </c>
      <c r="N24" s="24" t="str">
        <f t="shared" si="0"/>
        <v/>
      </c>
    </row>
    <row r="25" spans="2:14" x14ac:dyDescent="0.25">
      <c r="B25" t="s">
        <v>38</v>
      </c>
      <c r="C25">
        <v>72</v>
      </c>
      <c r="K25" t="str">
        <f>IF('Posição de Custódia'!B31="","",'Posição de Custódia'!B31)</f>
        <v>Total</v>
      </c>
      <c r="L25" s="4" t="str">
        <f>IF('Posição de Custódia'!D31="","",'Posição de Custódia'!D31)</f>
        <v/>
      </c>
      <c r="M25" s="3">
        <f>IFERROR('Posição de Custódia'!F31*'Posição de Custódia'!D31,"")</f>
        <v>0</v>
      </c>
      <c r="N25" s="24" t="str">
        <f t="shared" si="0"/>
        <v/>
      </c>
    </row>
    <row r="26" spans="2:14" x14ac:dyDescent="0.25">
      <c r="B26" t="s">
        <v>39</v>
      </c>
      <c r="C26">
        <v>73</v>
      </c>
      <c r="K26" t="str">
        <f>IF('Posição de Custódia'!B32="","",'Posição de Custódia'!B32)</f>
        <v/>
      </c>
      <c r="L26" s="4" t="str">
        <f>IF('Posição de Custódia'!D32="","",'Posição de Custódia'!D32)</f>
        <v/>
      </c>
      <c r="M26" s="3">
        <f>IFERROR('Posição de Custódia'!F32*'Posição de Custódia'!D32,"")</f>
        <v>0</v>
      </c>
      <c r="N26" s="24" t="str">
        <f t="shared" si="0"/>
        <v/>
      </c>
    </row>
    <row r="27" spans="2:14" x14ac:dyDescent="0.25">
      <c r="B27" t="s">
        <v>40</v>
      </c>
      <c r="C27">
        <v>74</v>
      </c>
      <c r="K27" t="str">
        <f>IF('Posição de Custódia'!B33="","",'Posição de Custódia'!B33)</f>
        <v>Tesouro Direto</v>
      </c>
      <c r="L27" s="4" t="str">
        <f>IF('Posição de Custódia'!D33="","",'Posição de Custódia'!D33)</f>
        <v/>
      </c>
      <c r="M27" s="3">
        <f>IFERROR('Posição de Custódia'!F33*'Posição de Custódia'!D33,"")</f>
        <v>0</v>
      </c>
      <c r="N27" s="24" t="str">
        <f t="shared" si="0"/>
        <v/>
      </c>
    </row>
    <row r="28" spans="2:14" x14ac:dyDescent="0.25">
      <c r="B28" t="s">
        <v>41</v>
      </c>
      <c r="C28">
        <v>75</v>
      </c>
      <c r="K28" t="str">
        <f>IF('Posição de Custódia'!B34="","",'Posição de Custódia'!B34)</f>
        <v>Título</v>
      </c>
      <c r="L28" s="4" t="e">
        <f>IF('Posição de Custódia'!#REF!="","",'Posição de Custódia'!#REF!)</f>
        <v>#REF!</v>
      </c>
      <c r="M28" s="3" t="str">
        <f>IFERROR('Posição de Custódia'!F34*'Posição de Custódia'!#REF!,"")</f>
        <v/>
      </c>
      <c r="N28" s="24" t="str">
        <f t="shared" si="0"/>
        <v/>
      </c>
    </row>
    <row r="29" spans="2:14" x14ac:dyDescent="0.25">
      <c r="B29" t="s">
        <v>42</v>
      </c>
      <c r="C29">
        <v>80</v>
      </c>
      <c r="K29" t="str">
        <f>IF('Posição de Custódia'!B35="","",'Posição de Custódia'!B35)</f>
        <v/>
      </c>
      <c r="L29" s="4" t="str">
        <f>IF('Posição de Custódia'!D34="","",'Posição de Custódia'!D34)</f>
        <v/>
      </c>
      <c r="M29" s="3">
        <f>IFERROR('Posição de Custódia'!F35*'Posição de Custódia'!D34,"")</f>
        <v>0</v>
      </c>
      <c r="N29" s="24" t="str">
        <f t="shared" si="0"/>
        <v/>
      </c>
    </row>
    <row r="30" spans="2:14" x14ac:dyDescent="0.25">
      <c r="B30" t="s">
        <v>43</v>
      </c>
      <c r="C30">
        <v>81</v>
      </c>
      <c r="M30" s="3">
        <f>SUM(M5:M29)</f>
        <v>0</v>
      </c>
    </row>
    <row r="31" spans="2:14" x14ac:dyDescent="0.25">
      <c r="B31" t="s">
        <v>44</v>
      </c>
      <c r="C31">
        <v>84</v>
      </c>
    </row>
    <row r="32" spans="2:14" x14ac:dyDescent="0.25">
      <c r="B32" t="s">
        <v>45</v>
      </c>
      <c r="C32">
        <v>85</v>
      </c>
    </row>
    <row r="33" spans="2:9" x14ac:dyDescent="0.25">
      <c r="B33" t="s">
        <v>13</v>
      </c>
      <c r="C33">
        <v>13</v>
      </c>
    </row>
    <row r="35" spans="2:9" x14ac:dyDescent="0.25">
      <c r="E35" s="6"/>
    </row>
    <row r="36" spans="2:9" x14ac:dyDescent="0.25">
      <c r="I36" s="7"/>
    </row>
    <row r="37" spans="2:9" x14ac:dyDescent="0.25">
      <c r="B37" s="6"/>
      <c r="I37" s="7"/>
    </row>
    <row r="38" spans="2:9" x14ac:dyDescent="0.25">
      <c r="B38" s="6"/>
      <c r="I38" s="7"/>
    </row>
    <row r="39" spans="2:9" x14ac:dyDescent="0.25">
      <c r="B39" s="6"/>
      <c r="D39" s="6"/>
      <c r="E39" s="6"/>
      <c r="I39" s="7"/>
    </row>
    <row r="40" spans="2:9" x14ac:dyDescent="0.25">
      <c r="B40" s="6"/>
      <c r="D40" s="6"/>
      <c r="E40" s="6"/>
      <c r="I40" s="7"/>
    </row>
    <row r="41" spans="2:9" x14ac:dyDescent="0.25">
      <c r="B41" s="6"/>
      <c r="D41" s="6"/>
      <c r="E41" s="6"/>
      <c r="I41" s="7"/>
    </row>
    <row r="42" spans="2:9" x14ac:dyDescent="0.25">
      <c r="B42" s="6"/>
      <c r="D42" s="6"/>
      <c r="E42" s="6"/>
      <c r="I42" s="7"/>
    </row>
    <row r="43" spans="2:9" x14ac:dyDescent="0.25">
      <c r="B43" s="6"/>
      <c r="D43" s="6"/>
      <c r="E43" s="6"/>
      <c r="I43" s="7"/>
    </row>
    <row r="44" spans="2:9" x14ac:dyDescent="0.25">
      <c r="B44" s="6"/>
      <c r="D44" s="6"/>
      <c r="E44" s="6"/>
      <c r="I44" s="7"/>
    </row>
    <row r="45" spans="2:9" x14ac:dyDescent="0.25">
      <c r="B45" s="6"/>
      <c r="D45" s="6"/>
      <c r="E45" s="6"/>
      <c r="I45" s="7"/>
    </row>
    <row r="46" spans="2:9" x14ac:dyDescent="0.25">
      <c r="B46" s="6"/>
      <c r="D46" s="6"/>
      <c r="E46" s="6"/>
      <c r="I46" s="7"/>
    </row>
    <row r="47" spans="2:9" x14ac:dyDescent="0.25">
      <c r="B47" s="6"/>
      <c r="D47" s="6"/>
      <c r="E47" s="6"/>
      <c r="I47" s="7"/>
    </row>
    <row r="48" spans="2:9" x14ac:dyDescent="0.25">
      <c r="B48" s="6"/>
      <c r="D48" s="6"/>
      <c r="E48" s="6"/>
    </row>
    <row r="49" spans="2:5" x14ac:dyDescent="0.25">
      <c r="B49" s="6"/>
      <c r="D49" s="6"/>
      <c r="E49" s="6"/>
    </row>
    <row r="50" spans="2:5" x14ac:dyDescent="0.25">
      <c r="B50" s="6"/>
      <c r="D50" s="6"/>
      <c r="E50" s="6"/>
    </row>
    <row r="51" spans="2:5" x14ac:dyDescent="0.25">
      <c r="B51" s="6"/>
      <c r="D51" s="6"/>
      <c r="E51" s="6"/>
    </row>
    <row r="52" spans="2:5" x14ac:dyDescent="0.25">
      <c r="B52" s="6"/>
      <c r="D52" s="6"/>
      <c r="E52" s="6"/>
    </row>
    <row r="53" spans="2:5" x14ac:dyDescent="0.25">
      <c r="B53" s="6"/>
      <c r="D53" s="6"/>
      <c r="E53" s="6"/>
    </row>
    <row r="54" spans="2:5" x14ac:dyDescent="0.25">
      <c r="B54" s="6"/>
      <c r="D54" s="6"/>
      <c r="E54" s="6"/>
    </row>
    <row r="55" spans="2:5" x14ac:dyDescent="0.25">
      <c r="B55" s="6"/>
      <c r="D55" s="6"/>
      <c r="E55" s="6"/>
    </row>
    <row r="56" spans="2:5" x14ac:dyDescent="0.25">
      <c r="B56" s="6"/>
      <c r="D56" s="6"/>
      <c r="E56" s="6"/>
    </row>
    <row r="57" spans="2:5" x14ac:dyDescent="0.25">
      <c r="B57" s="6"/>
      <c r="D57" s="6"/>
      <c r="E57" s="6"/>
    </row>
    <row r="58" spans="2:5" x14ac:dyDescent="0.25">
      <c r="B58" s="6"/>
      <c r="D58" s="6"/>
      <c r="E58" s="6"/>
    </row>
    <row r="59" spans="2:5" x14ac:dyDescent="0.25">
      <c r="B59" s="6"/>
      <c r="D59" s="6"/>
      <c r="E59" s="6"/>
    </row>
    <row r="60" spans="2:5" x14ac:dyDescent="0.25">
      <c r="B60" s="6"/>
      <c r="D60" s="6"/>
      <c r="E60" s="6"/>
    </row>
    <row r="61" spans="2:5" x14ac:dyDescent="0.25">
      <c r="B61" s="6"/>
      <c r="D61" s="6"/>
      <c r="E61" s="6"/>
    </row>
    <row r="62" spans="2:5" x14ac:dyDescent="0.25">
      <c r="B62" s="6"/>
      <c r="D62" s="6"/>
      <c r="E62" s="6"/>
    </row>
    <row r="63" spans="2:5" x14ac:dyDescent="0.25">
      <c r="B63" s="6"/>
      <c r="D63" s="6"/>
      <c r="E63" s="6"/>
    </row>
    <row r="64" spans="2:5" x14ac:dyDescent="0.25">
      <c r="B64" s="6"/>
      <c r="D64" s="6"/>
      <c r="E64" s="6"/>
    </row>
    <row r="65" spans="2:5" x14ac:dyDescent="0.25">
      <c r="B65" s="6"/>
      <c r="D65" s="6"/>
      <c r="E65" s="6"/>
    </row>
    <row r="66" spans="2:5" x14ac:dyDescent="0.25">
      <c r="B66" s="6"/>
      <c r="D66" s="6"/>
      <c r="E66" s="6"/>
    </row>
    <row r="67" spans="2:5" x14ac:dyDescent="0.25">
      <c r="B67" s="6"/>
      <c r="D67" s="6"/>
      <c r="E67" s="6"/>
    </row>
    <row r="68" spans="2:5" x14ac:dyDescent="0.25">
      <c r="B68" s="6"/>
      <c r="E68" s="6"/>
    </row>
    <row r="69" spans="2:5" x14ac:dyDescent="0.25">
      <c r="B69" s="6"/>
      <c r="E69" s="6"/>
    </row>
    <row r="70" spans="2:5" x14ac:dyDescent="0.25">
      <c r="B70" s="6"/>
    </row>
    <row r="71" spans="2:5" x14ac:dyDescent="0.25">
      <c r="B71" s="6"/>
    </row>
    <row r="72" spans="2:5" x14ac:dyDescent="0.25">
      <c r="B72" s="6"/>
    </row>
    <row r="73" spans="2:5" x14ac:dyDescent="0.25">
      <c r="B73" s="6"/>
    </row>
    <row r="74" spans="2:5" x14ac:dyDescent="0.25">
      <c r="B74" s="6"/>
    </row>
    <row r="75" spans="2:5" x14ac:dyDescent="0.25">
      <c r="B75" s="6"/>
    </row>
    <row r="76" spans="2:5" x14ac:dyDescent="0.25">
      <c r="B76" s="6"/>
    </row>
    <row r="77" spans="2:5" x14ac:dyDescent="0.25">
      <c r="B77" s="6"/>
    </row>
    <row r="78" spans="2:5" x14ac:dyDescent="0.25">
      <c r="B78" s="6"/>
    </row>
    <row r="79" spans="2:5" x14ac:dyDescent="0.25">
      <c r="B79" s="6"/>
    </row>
    <row r="80" spans="2:5" x14ac:dyDescent="0.25">
      <c r="B80" s="6"/>
    </row>
    <row r="81" spans="2:2" x14ac:dyDescent="0.25">
      <c r="B81" s="6"/>
    </row>
    <row r="82" spans="2:2" x14ac:dyDescent="0.25">
      <c r="B82" s="6"/>
    </row>
    <row r="83" spans="2:2" x14ac:dyDescent="0.25">
      <c r="B83" s="6"/>
    </row>
    <row r="84" spans="2:2" x14ac:dyDescent="0.25">
      <c r="B84" s="6"/>
    </row>
    <row r="85" spans="2:2" x14ac:dyDescent="0.25">
      <c r="B85" s="6"/>
    </row>
    <row r="86" spans="2:2" x14ac:dyDescent="0.25">
      <c r="B86" s="6"/>
    </row>
    <row r="87" spans="2:2" x14ac:dyDescent="0.25">
      <c r="B87" s="6"/>
    </row>
    <row r="88" spans="2:2" x14ac:dyDescent="0.25">
      <c r="B88" s="6"/>
    </row>
    <row r="89" spans="2:2" x14ac:dyDescent="0.25">
      <c r="B89" s="6"/>
    </row>
    <row r="90" spans="2:2" x14ac:dyDescent="0.25">
      <c r="B90" s="6"/>
    </row>
    <row r="91" spans="2:2" x14ac:dyDescent="0.25">
      <c r="B91" s="6"/>
    </row>
    <row r="92" spans="2:2" x14ac:dyDescent="0.25">
      <c r="B92" s="6"/>
    </row>
    <row r="93" spans="2:2" x14ac:dyDescent="0.25">
      <c r="B93" s="6"/>
    </row>
    <row r="94" spans="2:2" x14ac:dyDescent="0.25">
      <c r="B94" s="6"/>
    </row>
    <row r="95" spans="2:2" x14ac:dyDescent="0.25">
      <c r="B95" s="6"/>
    </row>
    <row r="96" spans="2:2" x14ac:dyDescent="0.25">
      <c r="B96" s="6"/>
    </row>
    <row r="97" spans="2:4" x14ac:dyDescent="0.25">
      <c r="B97" s="6"/>
    </row>
    <row r="98" spans="2:4" x14ac:dyDescent="0.25">
      <c r="B98" s="6"/>
    </row>
    <row r="99" spans="2:4" x14ac:dyDescent="0.25">
      <c r="B99" s="6"/>
      <c r="D99" s="6"/>
    </row>
    <row r="100" spans="2:4" x14ac:dyDescent="0.25">
      <c r="B100" s="6"/>
      <c r="D100" s="6"/>
    </row>
    <row r="101" spans="2:4" x14ac:dyDescent="0.25">
      <c r="B101" s="6"/>
      <c r="D101" s="6"/>
    </row>
    <row r="102" spans="2:4" x14ac:dyDescent="0.25">
      <c r="B102" s="6"/>
      <c r="D102" s="6"/>
    </row>
    <row r="103" spans="2:4" x14ac:dyDescent="0.25">
      <c r="B103" s="6"/>
      <c r="D103" s="6"/>
    </row>
    <row r="104" spans="2:4" x14ac:dyDescent="0.25">
      <c r="B104" s="6"/>
      <c r="D104" s="6"/>
    </row>
    <row r="105" spans="2:4" x14ac:dyDescent="0.25">
      <c r="B105" s="6"/>
      <c r="D105" s="6"/>
    </row>
    <row r="106" spans="2:4" x14ac:dyDescent="0.25">
      <c r="B106" s="6"/>
      <c r="D106" s="6"/>
    </row>
    <row r="107" spans="2:4" x14ac:dyDescent="0.25">
      <c r="B107" s="6"/>
      <c r="D107" s="6"/>
    </row>
    <row r="108" spans="2:4" x14ac:dyDescent="0.25">
      <c r="B108" s="6"/>
      <c r="D108" s="6"/>
    </row>
    <row r="109" spans="2:4" x14ac:dyDescent="0.25">
      <c r="B109" s="6"/>
      <c r="D109" s="6"/>
    </row>
    <row r="110" spans="2:4" x14ac:dyDescent="0.25">
      <c r="B110" s="6"/>
      <c r="D110" s="6"/>
    </row>
    <row r="111" spans="2:4" x14ac:dyDescent="0.25">
      <c r="B111" s="6"/>
      <c r="D111" s="6"/>
    </row>
    <row r="112" spans="2:4" x14ac:dyDescent="0.25">
      <c r="B112" s="6"/>
      <c r="D112" s="6"/>
    </row>
    <row r="113" spans="2:4" x14ac:dyDescent="0.25">
      <c r="B113" s="6"/>
      <c r="D113" s="6"/>
    </row>
    <row r="114" spans="2:4" x14ac:dyDescent="0.25">
      <c r="B114" s="6"/>
      <c r="D114" s="6"/>
    </row>
    <row r="115" spans="2:4" x14ac:dyDescent="0.25">
      <c r="B115" s="6"/>
      <c r="D115" s="6"/>
    </row>
    <row r="116" spans="2:4" x14ac:dyDescent="0.25">
      <c r="B116" s="6"/>
      <c r="D116" s="6"/>
    </row>
    <row r="117" spans="2:4" x14ac:dyDescent="0.25">
      <c r="B117" s="6"/>
      <c r="D117" s="6"/>
    </row>
    <row r="118" spans="2:4" x14ac:dyDescent="0.25">
      <c r="B118" s="6"/>
      <c r="D118" s="6"/>
    </row>
    <row r="119" spans="2:4" x14ac:dyDescent="0.25">
      <c r="B119" s="6"/>
      <c r="D119" s="6"/>
    </row>
    <row r="120" spans="2:4" x14ac:dyDescent="0.25">
      <c r="B120" s="6"/>
      <c r="D120" s="6"/>
    </row>
    <row r="121" spans="2:4" x14ac:dyDescent="0.25">
      <c r="B121" s="6"/>
      <c r="D121" s="6"/>
    </row>
    <row r="122" spans="2:4" x14ac:dyDescent="0.25">
      <c r="B122" s="6"/>
      <c r="D122" s="6"/>
    </row>
    <row r="123" spans="2:4" x14ac:dyDescent="0.25">
      <c r="B123" s="6"/>
      <c r="D123" s="6"/>
    </row>
    <row r="124" spans="2:4" x14ac:dyDescent="0.25">
      <c r="B124" s="6"/>
      <c r="D124" s="6"/>
    </row>
    <row r="125" spans="2:4" x14ac:dyDescent="0.25">
      <c r="B125" s="6"/>
      <c r="D125" s="6"/>
    </row>
    <row r="126" spans="2:4" x14ac:dyDescent="0.25">
      <c r="B126" s="6"/>
      <c r="D126" s="6"/>
    </row>
    <row r="127" spans="2:4" x14ac:dyDescent="0.25">
      <c r="B127" s="6"/>
      <c r="D127" s="6"/>
    </row>
    <row r="128" spans="2:4" x14ac:dyDescent="0.25">
      <c r="B128" s="6"/>
      <c r="D128" s="6"/>
    </row>
    <row r="129" spans="2:4" x14ac:dyDescent="0.25">
      <c r="B129" s="6"/>
      <c r="D129" s="6"/>
    </row>
    <row r="130" spans="2:4" x14ac:dyDescent="0.25">
      <c r="B130" s="6"/>
      <c r="D130" s="6"/>
    </row>
    <row r="131" spans="2:4" x14ac:dyDescent="0.25">
      <c r="B131" s="6"/>
      <c r="D131" s="6"/>
    </row>
    <row r="132" spans="2:4" x14ac:dyDescent="0.25">
      <c r="B132" s="6"/>
      <c r="D132" s="6"/>
    </row>
    <row r="133" spans="2:4" x14ac:dyDescent="0.25">
      <c r="B133" s="6"/>
      <c r="D133" s="6"/>
    </row>
    <row r="134" spans="2:4" x14ac:dyDescent="0.25">
      <c r="B134" s="6"/>
      <c r="D134" s="6"/>
    </row>
    <row r="135" spans="2:4" x14ac:dyDescent="0.25">
      <c r="B135" s="6"/>
      <c r="D135" s="6"/>
    </row>
    <row r="136" spans="2:4" x14ac:dyDescent="0.25">
      <c r="B136" s="6"/>
      <c r="D136" s="6"/>
    </row>
    <row r="137" spans="2:4" x14ac:dyDescent="0.25">
      <c r="B137" s="6"/>
      <c r="D137" s="6"/>
    </row>
    <row r="138" spans="2:4" x14ac:dyDescent="0.25">
      <c r="B138" s="6"/>
      <c r="D138" s="6"/>
    </row>
    <row r="139" spans="2:4" x14ac:dyDescent="0.25">
      <c r="B139" s="6"/>
      <c r="D139" s="6"/>
    </row>
    <row r="140" spans="2:4" x14ac:dyDescent="0.25">
      <c r="B140" s="6"/>
      <c r="D140" s="6"/>
    </row>
    <row r="141" spans="2:4" x14ac:dyDescent="0.25">
      <c r="B141" s="6"/>
      <c r="D141" s="6"/>
    </row>
    <row r="142" spans="2:4" x14ac:dyDescent="0.25">
      <c r="B142" s="6"/>
      <c r="D142" s="6"/>
    </row>
    <row r="143" spans="2:4" x14ac:dyDescent="0.25">
      <c r="B143" s="6"/>
      <c r="D143" s="6"/>
    </row>
    <row r="144" spans="2:4" x14ac:dyDescent="0.25">
      <c r="B144" s="6"/>
      <c r="D144" s="6"/>
    </row>
    <row r="145" spans="2:4" x14ac:dyDescent="0.25">
      <c r="B145" s="6"/>
      <c r="D145" s="6"/>
    </row>
    <row r="146" spans="2:4" x14ac:dyDescent="0.25">
      <c r="B146" s="6"/>
      <c r="D146" s="6"/>
    </row>
    <row r="147" spans="2:4" x14ac:dyDescent="0.25">
      <c r="B147" s="6"/>
      <c r="D147" s="6"/>
    </row>
    <row r="148" spans="2:4" x14ac:dyDescent="0.25">
      <c r="B148" s="6"/>
      <c r="D148" s="6"/>
    </row>
    <row r="149" spans="2:4" x14ac:dyDescent="0.25">
      <c r="B149" s="6"/>
      <c r="D149" s="6"/>
    </row>
    <row r="150" spans="2:4" x14ac:dyDescent="0.25">
      <c r="B150" s="6"/>
      <c r="D150" s="6"/>
    </row>
    <row r="151" spans="2:4" x14ac:dyDescent="0.25">
      <c r="B151" s="6"/>
      <c r="D151" s="6"/>
    </row>
    <row r="152" spans="2:4" x14ac:dyDescent="0.25">
      <c r="B152" s="6"/>
      <c r="D152" s="6"/>
    </row>
    <row r="153" spans="2:4" x14ac:dyDescent="0.25">
      <c r="B153" s="6"/>
      <c r="D153" s="6"/>
    </row>
    <row r="154" spans="2:4" x14ac:dyDescent="0.25">
      <c r="B154" s="6"/>
      <c r="D154" s="6"/>
    </row>
    <row r="155" spans="2:4" x14ac:dyDescent="0.25">
      <c r="B155" s="6"/>
      <c r="D155" s="6"/>
    </row>
    <row r="156" spans="2:4" x14ac:dyDescent="0.25">
      <c r="B156" s="6"/>
      <c r="D156" s="6"/>
    </row>
    <row r="157" spans="2:4" x14ac:dyDescent="0.25">
      <c r="B157" s="6"/>
      <c r="D157" s="6"/>
    </row>
    <row r="158" spans="2:4" x14ac:dyDescent="0.25">
      <c r="B158" s="6"/>
      <c r="D158" s="6"/>
    </row>
    <row r="159" spans="2:4" x14ac:dyDescent="0.25">
      <c r="B159" s="6"/>
      <c r="D159" s="6"/>
    </row>
    <row r="160" spans="2:4" x14ac:dyDescent="0.25">
      <c r="B160" s="6"/>
      <c r="D160" s="6"/>
    </row>
    <row r="161" spans="2:4" x14ac:dyDescent="0.25">
      <c r="B161" s="6"/>
      <c r="D161" s="6"/>
    </row>
    <row r="162" spans="2:4" x14ac:dyDescent="0.25">
      <c r="B162" s="6"/>
      <c r="D162" s="6"/>
    </row>
    <row r="163" spans="2:4" x14ac:dyDescent="0.25">
      <c r="B163" s="6"/>
      <c r="D163" s="6"/>
    </row>
    <row r="164" spans="2:4" x14ac:dyDescent="0.25">
      <c r="B164" s="6"/>
      <c r="D164" s="6"/>
    </row>
    <row r="165" spans="2:4" x14ac:dyDescent="0.25">
      <c r="B165" s="6"/>
      <c r="D165" s="6"/>
    </row>
    <row r="166" spans="2:4" x14ac:dyDescent="0.25">
      <c r="B166" s="6"/>
      <c r="D166" s="6"/>
    </row>
    <row r="167" spans="2:4" x14ac:dyDescent="0.25">
      <c r="B167" s="6"/>
      <c r="D167" s="6"/>
    </row>
    <row r="168" spans="2:4" x14ac:dyDescent="0.25">
      <c r="B168" s="6"/>
      <c r="D168" s="6"/>
    </row>
    <row r="169" spans="2:4" x14ac:dyDescent="0.25">
      <c r="B169" s="6"/>
      <c r="D169" s="6"/>
    </row>
    <row r="170" spans="2:4" x14ac:dyDescent="0.25">
      <c r="B170" s="6"/>
      <c r="D170" s="6"/>
    </row>
    <row r="171" spans="2:4" x14ac:dyDescent="0.25">
      <c r="B171" s="6"/>
      <c r="D171" s="6"/>
    </row>
    <row r="172" spans="2:4" x14ac:dyDescent="0.25">
      <c r="B172" s="6"/>
      <c r="D172" s="6"/>
    </row>
    <row r="173" spans="2:4" x14ac:dyDescent="0.25">
      <c r="B173" s="6"/>
      <c r="D173" s="6"/>
    </row>
    <row r="174" spans="2:4" x14ac:dyDescent="0.25">
      <c r="B174" s="6"/>
      <c r="D174" s="6"/>
    </row>
    <row r="175" spans="2:4" x14ac:dyDescent="0.25">
      <c r="B175" s="6"/>
      <c r="D175" s="6"/>
    </row>
    <row r="176" spans="2:4" x14ac:dyDescent="0.25">
      <c r="B176" s="6"/>
      <c r="D176" s="6"/>
    </row>
    <row r="177" spans="2:4" x14ac:dyDescent="0.25">
      <c r="B177" s="6"/>
      <c r="D177" s="6"/>
    </row>
    <row r="178" spans="2:4" x14ac:dyDescent="0.25">
      <c r="B178" s="6"/>
      <c r="D178" s="6"/>
    </row>
    <row r="179" spans="2:4" x14ac:dyDescent="0.25">
      <c r="B179" s="6"/>
      <c r="D179" s="6"/>
    </row>
    <row r="180" spans="2:4" x14ac:dyDescent="0.25">
      <c r="B180" s="6"/>
      <c r="D180" s="6"/>
    </row>
    <row r="181" spans="2:4" x14ac:dyDescent="0.25">
      <c r="B181" s="6"/>
      <c r="D181" s="6"/>
    </row>
    <row r="182" spans="2:4" x14ac:dyDescent="0.25">
      <c r="B182" s="6"/>
      <c r="D182" s="6"/>
    </row>
    <row r="183" spans="2:4" x14ac:dyDescent="0.25">
      <c r="B183" s="6"/>
      <c r="D183" s="6"/>
    </row>
    <row r="184" spans="2:4" x14ac:dyDescent="0.25">
      <c r="B184" s="6"/>
      <c r="D184" s="6"/>
    </row>
    <row r="185" spans="2:4" x14ac:dyDescent="0.25">
      <c r="B185" s="6"/>
      <c r="D185" s="6"/>
    </row>
    <row r="186" spans="2:4" x14ac:dyDescent="0.25">
      <c r="B186" s="6"/>
      <c r="D186" s="6"/>
    </row>
    <row r="187" spans="2:4" x14ac:dyDescent="0.25">
      <c r="B187" s="6"/>
      <c r="D187" s="6"/>
    </row>
    <row r="188" spans="2:4" x14ac:dyDescent="0.25">
      <c r="B188" s="6"/>
      <c r="D188" s="6"/>
    </row>
    <row r="189" spans="2:4" x14ac:dyDescent="0.25">
      <c r="B189" s="6"/>
      <c r="D189" s="6"/>
    </row>
    <row r="190" spans="2:4" x14ac:dyDescent="0.25">
      <c r="B190" s="6"/>
      <c r="D190" s="6"/>
    </row>
    <row r="191" spans="2:4" x14ac:dyDescent="0.25">
      <c r="B191" s="6"/>
      <c r="D191" s="6"/>
    </row>
    <row r="192" spans="2:4" x14ac:dyDescent="0.25">
      <c r="B192" s="6"/>
      <c r="D192" s="6"/>
    </row>
    <row r="193" spans="2:4" x14ac:dyDescent="0.25">
      <c r="B193" s="6"/>
      <c r="D193" s="6"/>
    </row>
    <row r="194" spans="2:4" x14ac:dyDescent="0.25">
      <c r="B194" s="6"/>
      <c r="D194" s="6"/>
    </row>
    <row r="195" spans="2:4" x14ac:dyDescent="0.25">
      <c r="B195" s="6"/>
      <c r="D195" s="6"/>
    </row>
    <row r="196" spans="2:4" x14ac:dyDescent="0.25">
      <c r="B196" s="6"/>
      <c r="D196" s="6"/>
    </row>
    <row r="197" spans="2:4" x14ac:dyDescent="0.25">
      <c r="B197" s="6"/>
      <c r="D197" s="6"/>
    </row>
    <row r="198" spans="2:4" x14ac:dyDescent="0.25">
      <c r="B198" s="6"/>
      <c r="D198" s="6"/>
    </row>
    <row r="199" spans="2:4" x14ac:dyDescent="0.25">
      <c r="B199" s="6"/>
      <c r="D199" s="6"/>
    </row>
    <row r="200" spans="2:4" x14ac:dyDescent="0.25">
      <c r="B200" s="6"/>
      <c r="D200" s="6"/>
    </row>
    <row r="201" spans="2:4" x14ac:dyDescent="0.25">
      <c r="B201" s="6"/>
      <c r="D201" s="6"/>
    </row>
    <row r="202" spans="2:4" x14ac:dyDescent="0.25">
      <c r="B202" s="6"/>
      <c r="D202" s="6"/>
    </row>
    <row r="203" spans="2:4" x14ac:dyDescent="0.25">
      <c r="B203" s="6"/>
      <c r="D203" s="6"/>
    </row>
    <row r="204" spans="2:4" x14ac:dyDescent="0.25">
      <c r="B204" s="6"/>
      <c r="D204" s="6"/>
    </row>
    <row r="205" spans="2:4" x14ac:dyDescent="0.25">
      <c r="B205" s="6"/>
      <c r="D205" s="6"/>
    </row>
    <row r="206" spans="2:4" x14ac:dyDescent="0.25">
      <c r="B206" s="6"/>
      <c r="D206" s="6"/>
    </row>
    <row r="207" spans="2:4" x14ac:dyDescent="0.25">
      <c r="B207" s="6"/>
      <c r="D207" s="6"/>
    </row>
    <row r="208" spans="2:4" x14ac:dyDescent="0.25">
      <c r="B208" s="6"/>
      <c r="D208" s="6"/>
    </row>
    <row r="209" spans="2:4" x14ac:dyDescent="0.25">
      <c r="B209" s="6"/>
      <c r="D209" s="6"/>
    </row>
    <row r="210" spans="2:4" x14ac:dyDescent="0.25">
      <c r="B210" s="6"/>
      <c r="D210" s="6"/>
    </row>
    <row r="211" spans="2:4" x14ac:dyDescent="0.25">
      <c r="B211" s="6"/>
      <c r="D211" s="6"/>
    </row>
    <row r="212" spans="2:4" x14ac:dyDescent="0.25">
      <c r="B212" s="6"/>
      <c r="D212" s="6"/>
    </row>
    <row r="213" spans="2:4" x14ac:dyDescent="0.25">
      <c r="B213" s="6"/>
      <c r="D213" s="6"/>
    </row>
    <row r="214" spans="2:4" x14ac:dyDescent="0.25">
      <c r="B214" s="6"/>
      <c r="D214" s="6"/>
    </row>
    <row r="215" spans="2:4" x14ac:dyDescent="0.25">
      <c r="B215" s="6"/>
      <c r="D215" s="6"/>
    </row>
    <row r="216" spans="2:4" x14ac:dyDescent="0.25">
      <c r="B216" s="6"/>
      <c r="D216" s="6"/>
    </row>
    <row r="217" spans="2:4" x14ac:dyDescent="0.25">
      <c r="B217" s="6"/>
      <c r="D217" s="6"/>
    </row>
    <row r="218" spans="2:4" x14ac:dyDescent="0.25">
      <c r="B218" s="6"/>
      <c r="D218" s="6"/>
    </row>
    <row r="219" spans="2:4" x14ac:dyDescent="0.25">
      <c r="B219" s="6"/>
      <c r="D219" s="6"/>
    </row>
    <row r="220" spans="2:4" x14ac:dyDescent="0.25">
      <c r="B220" s="6"/>
      <c r="D220" s="6"/>
    </row>
    <row r="221" spans="2:4" x14ac:dyDescent="0.25">
      <c r="B221" s="6"/>
      <c r="D221" s="6"/>
    </row>
    <row r="222" spans="2:4" x14ac:dyDescent="0.25">
      <c r="B222" s="6"/>
      <c r="D222" s="6"/>
    </row>
    <row r="223" spans="2:4" x14ac:dyDescent="0.25">
      <c r="B223" s="6"/>
      <c r="D223" s="6"/>
    </row>
    <row r="224" spans="2:4" x14ac:dyDescent="0.25">
      <c r="B224" s="6"/>
      <c r="D224" s="6"/>
    </row>
    <row r="225" spans="2:4" x14ac:dyDescent="0.25">
      <c r="B225" s="6"/>
      <c r="D225" s="6"/>
    </row>
    <row r="226" spans="2:4" x14ac:dyDescent="0.25">
      <c r="B226" s="6"/>
      <c r="D226" s="6"/>
    </row>
    <row r="227" spans="2:4" x14ac:dyDescent="0.25">
      <c r="B227" s="6"/>
      <c r="D227" s="6"/>
    </row>
    <row r="228" spans="2:4" x14ac:dyDescent="0.25">
      <c r="B228" s="6"/>
      <c r="D228" s="6"/>
    </row>
    <row r="229" spans="2:4" x14ac:dyDescent="0.25">
      <c r="B229" s="6"/>
      <c r="D229" s="6"/>
    </row>
    <row r="230" spans="2:4" x14ac:dyDescent="0.25">
      <c r="B230" s="6"/>
      <c r="D230" s="6"/>
    </row>
    <row r="231" spans="2:4" x14ac:dyDescent="0.25">
      <c r="B231" s="6"/>
      <c r="D231" s="6"/>
    </row>
    <row r="232" spans="2:4" x14ac:dyDescent="0.25">
      <c r="B232" s="6"/>
      <c r="D232" s="6"/>
    </row>
    <row r="233" spans="2:4" x14ac:dyDescent="0.25">
      <c r="B233" s="6"/>
      <c r="D233" s="6"/>
    </row>
    <row r="234" spans="2:4" x14ac:dyDescent="0.25">
      <c r="B234" s="6"/>
      <c r="D234" s="6"/>
    </row>
    <row r="235" spans="2:4" x14ac:dyDescent="0.25">
      <c r="B235" s="6"/>
      <c r="D235" s="6"/>
    </row>
    <row r="236" spans="2:4" x14ac:dyDescent="0.25">
      <c r="B236" s="6"/>
      <c r="D236" s="6"/>
    </row>
    <row r="237" spans="2:4" x14ac:dyDescent="0.25">
      <c r="B237" s="6"/>
      <c r="D237" s="6"/>
    </row>
    <row r="238" spans="2:4" x14ac:dyDescent="0.25">
      <c r="B238" s="6"/>
      <c r="D238" s="6"/>
    </row>
    <row r="239" spans="2:4" x14ac:dyDescent="0.25">
      <c r="B239" s="6"/>
      <c r="D239" s="6"/>
    </row>
    <row r="240" spans="2:4" x14ac:dyDescent="0.25">
      <c r="B240" s="6"/>
      <c r="D240" s="6"/>
    </row>
    <row r="241" spans="2:4" x14ac:dyDescent="0.25">
      <c r="B241" s="6"/>
      <c r="D241" s="6"/>
    </row>
    <row r="242" spans="2:4" x14ac:dyDescent="0.25">
      <c r="B242" s="6"/>
      <c r="D242" s="6"/>
    </row>
    <row r="243" spans="2:4" x14ac:dyDescent="0.25">
      <c r="B243" s="6"/>
      <c r="D243" s="6"/>
    </row>
    <row r="244" spans="2:4" x14ac:dyDescent="0.25">
      <c r="B244" s="6"/>
      <c r="D244" s="6"/>
    </row>
    <row r="245" spans="2:4" x14ac:dyDescent="0.25">
      <c r="B245" s="6"/>
      <c r="D245" s="6"/>
    </row>
    <row r="246" spans="2:4" x14ac:dyDescent="0.25">
      <c r="B246" s="6"/>
      <c r="D246" s="6"/>
    </row>
    <row r="247" spans="2:4" x14ac:dyDescent="0.25">
      <c r="B247" s="6"/>
      <c r="D247" s="6"/>
    </row>
    <row r="248" spans="2:4" x14ac:dyDescent="0.25">
      <c r="B248" s="6"/>
      <c r="D248" s="6"/>
    </row>
    <row r="249" spans="2:4" x14ac:dyDescent="0.25">
      <c r="B249" s="6"/>
      <c r="D249" s="6"/>
    </row>
    <row r="250" spans="2:4" x14ac:dyDescent="0.25">
      <c r="B250" s="6"/>
      <c r="D250" s="6"/>
    </row>
    <row r="251" spans="2:4" x14ac:dyDescent="0.25">
      <c r="B251" s="6"/>
      <c r="D251" s="6"/>
    </row>
    <row r="252" spans="2:4" x14ac:dyDescent="0.25">
      <c r="B252" s="6"/>
      <c r="D252" s="6"/>
    </row>
    <row r="253" spans="2:4" x14ac:dyDescent="0.25">
      <c r="B253" s="6"/>
      <c r="D253" s="6"/>
    </row>
    <row r="254" spans="2:4" x14ac:dyDescent="0.25">
      <c r="B254" s="6"/>
      <c r="D254" s="6"/>
    </row>
    <row r="255" spans="2:4" x14ac:dyDescent="0.25">
      <c r="B255" s="6"/>
      <c r="D255" s="6"/>
    </row>
    <row r="256" spans="2:4" x14ac:dyDescent="0.25">
      <c r="B256" s="6"/>
      <c r="D256" s="6"/>
    </row>
    <row r="257" spans="2:4" x14ac:dyDescent="0.25">
      <c r="B257" s="6"/>
      <c r="D257" s="6"/>
    </row>
    <row r="258" spans="2:4" x14ac:dyDescent="0.25">
      <c r="B258" s="6"/>
      <c r="D258" s="6"/>
    </row>
    <row r="259" spans="2:4" x14ac:dyDescent="0.25">
      <c r="B259" s="6"/>
      <c r="D259" s="6"/>
    </row>
    <row r="260" spans="2:4" x14ac:dyDescent="0.25">
      <c r="B260" s="6"/>
      <c r="D260" s="6"/>
    </row>
    <row r="261" spans="2:4" x14ac:dyDescent="0.25">
      <c r="B261" s="6"/>
      <c r="D261" s="6"/>
    </row>
    <row r="262" spans="2:4" x14ac:dyDescent="0.25">
      <c r="B262" s="6"/>
      <c r="D262" s="6"/>
    </row>
    <row r="263" spans="2:4" x14ac:dyDescent="0.25">
      <c r="B263" s="6"/>
      <c r="D263" s="6"/>
    </row>
    <row r="264" spans="2:4" x14ac:dyDescent="0.25">
      <c r="B264" s="6"/>
      <c r="D264" s="6"/>
    </row>
    <row r="265" spans="2:4" x14ac:dyDescent="0.25">
      <c r="B265" s="6"/>
      <c r="D265" s="6"/>
    </row>
    <row r="266" spans="2:4" x14ac:dyDescent="0.25">
      <c r="B266" s="6"/>
      <c r="D266" s="6"/>
    </row>
    <row r="267" spans="2:4" x14ac:dyDescent="0.25">
      <c r="B267" s="6"/>
      <c r="D267" s="6"/>
    </row>
    <row r="268" spans="2:4" x14ac:dyDescent="0.25">
      <c r="B268" s="6"/>
      <c r="D268" s="6"/>
    </row>
    <row r="269" spans="2:4" x14ac:dyDescent="0.25">
      <c r="B269" s="6"/>
      <c r="D269" s="6"/>
    </row>
    <row r="270" spans="2:4" x14ac:dyDescent="0.25">
      <c r="B270" s="6"/>
      <c r="D270" s="6"/>
    </row>
    <row r="271" spans="2:4" x14ac:dyDescent="0.25">
      <c r="B271" s="6"/>
      <c r="D271" s="6"/>
    </row>
    <row r="272" spans="2:4" x14ac:dyDescent="0.25">
      <c r="B272" s="6"/>
      <c r="D272" s="6"/>
    </row>
    <row r="273" spans="2:4" x14ac:dyDescent="0.25">
      <c r="B273" s="6"/>
      <c r="D273" s="6"/>
    </row>
    <row r="274" spans="2:4" x14ac:dyDescent="0.25">
      <c r="B274" s="6"/>
      <c r="D274" s="6"/>
    </row>
    <row r="275" spans="2:4" x14ac:dyDescent="0.25">
      <c r="B275" s="6"/>
      <c r="D275" s="6"/>
    </row>
    <row r="276" spans="2:4" x14ac:dyDescent="0.25">
      <c r="B276" s="6"/>
      <c r="D276" s="6"/>
    </row>
    <row r="277" spans="2:4" x14ac:dyDescent="0.25">
      <c r="B277" s="6"/>
      <c r="D277" s="6"/>
    </row>
    <row r="278" spans="2:4" x14ac:dyDescent="0.25">
      <c r="B278" s="6"/>
      <c r="D278" s="6"/>
    </row>
    <row r="279" spans="2:4" x14ac:dyDescent="0.25">
      <c r="B279" s="6"/>
      <c r="D279" s="6"/>
    </row>
    <row r="280" spans="2:4" x14ac:dyDescent="0.25">
      <c r="B280" s="6"/>
      <c r="D280" s="6"/>
    </row>
    <row r="281" spans="2:4" x14ac:dyDescent="0.25">
      <c r="B281" s="6"/>
      <c r="D281" s="6"/>
    </row>
    <row r="282" spans="2:4" x14ac:dyDescent="0.25">
      <c r="B282" s="6"/>
      <c r="D282" s="6"/>
    </row>
    <row r="283" spans="2:4" x14ac:dyDescent="0.25">
      <c r="B283" s="6"/>
      <c r="D283" s="6"/>
    </row>
    <row r="284" spans="2:4" x14ac:dyDescent="0.25">
      <c r="B284" s="6"/>
      <c r="D284" s="6"/>
    </row>
    <row r="285" spans="2:4" x14ac:dyDescent="0.25">
      <c r="B285" s="6"/>
      <c r="D285" s="6"/>
    </row>
    <row r="286" spans="2:4" x14ac:dyDescent="0.25">
      <c r="B286" s="6"/>
      <c r="D286" s="6"/>
    </row>
    <row r="287" spans="2:4" x14ac:dyDescent="0.25">
      <c r="B287" s="6"/>
      <c r="D287" s="6"/>
    </row>
    <row r="288" spans="2:4" x14ac:dyDescent="0.25">
      <c r="B288" s="6"/>
      <c r="D288" s="6"/>
    </row>
    <row r="289" spans="2:4" x14ac:dyDescent="0.25">
      <c r="B289" s="6"/>
      <c r="D289" s="6"/>
    </row>
    <row r="290" spans="2:4" x14ac:dyDescent="0.25">
      <c r="B290" s="6"/>
      <c r="D290" s="6"/>
    </row>
    <row r="291" spans="2:4" x14ac:dyDescent="0.25">
      <c r="B291" s="6"/>
      <c r="D291" s="6"/>
    </row>
    <row r="292" spans="2:4" x14ac:dyDescent="0.25">
      <c r="B292" s="6"/>
      <c r="D292" s="6"/>
    </row>
    <row r="293" spans="2:4" x14ac:dyDescent="0.25">
      <c r="B293" s="6"/>
      <c r="D293" s="6"/>
    </row>
    <row r="294" spans="2:4" x14ac:dyDescent="0.25">
      <c r="B294" s="6"/>
      <c r="D294" s="6"/>
    </row>
    <row r="295" spans="2:4" x14ac:dyDescent="0.25">
      <c r="B295" s="6"/>
      <c r="D295" s="6"/>
    </row>
    <row r="296" spans="2:4" x14ac:dyDescent="0.25">
      <c r="B296" s="6"/>
      <c r="D296" s="6"/>
    </row>
    <row r="297" spans="2:4" x14ac:dyDescent="0.25">
      <c r="B297" s="6"/>
      <c r="D297" s="6"/>
    </row>
    <row r="298" spans="2:4" x14ac:dyDescent="0.25">
      <c r="B298" s="6"/>
      <c r="D298" s="6"/>
    </row>
    <row r="299" spans="2:4" x14ac:dyDescent="0.25">
      <c r="B299" s="6"/>
      <c r="D299" s="6"/>
    </row>
    <row r="300" spans="2:4" x14ac:dyDescent="0.25">
      <c r="B300" s="6"/>
      <c r="D300" s="6"/>
    </row>
    <row r="301" spans="2:4" x14ac:dyDescent="0.25">
      <c r="B301" s="6"/>
      <c r="D301" s="6"/>
    </row>
    <row r="302" spans="2:4" x14ac:dyDescent="0.25">
      <c r="B302" s="6"/>
      <c r="D302" s="6"/>
    </row>
    <row r="303" spans="2:4" x14ac:dyDescent="0.25">
      <c r="B303" s="6"/>
      <c r="D303" s="6"/>
    </row>
    <row r="304" spans="2:4" x14ac:dyDescent="0.25">
      <c r="B304" s="6"/>
      <c r="D304" s="6"/>
    </row>
    <row r="305" spans="2:4" x14ac:dyDescent="0.25">
      <c r="B305" s="6"/>
      <c r="D305" s="6"/>
    </row>
    <row r="306" spans="2:4" x14ac:dyDescent="0.25">
      <c r="B306" s="6"/>
      <c r="D306" s="6"/>
    </row>
    <row r="307" spans="2:4" x14ac:dyDescent="0.25">
      <c r="B307" s="6"/>
      <c r="D307" s="6"/>
    </row>
    <row r="308" spans="2:4" x14ac:dyDescent="0.25">
      <c r="B308" s="6"/>
      <c r="D308" s="6"/>
    </row>
    <row r="309" spans="2:4" x14ac:dyDescent="0.25">
      <c r="B309" s="6"/>
      <c r="D309" s="6"/>
    </row>
    <row r="310" spans="2:4" x14ac:dyDescent="0.25">
      <c r="B310" s="6"/>
      <c r="D310" s="6"/>
    </row>
    <row r="311" spans="2:4" x14ac:dyDescent="0.25">
      <c r="B311" s="6"/>
      <c r="D311" s="6"/>
    </row>
    <row r="312" spans="2:4" x14ac:dyDescent="0.25">
      <c r="B312" s="6"/>
      <c r="D312" s="6"/>
    </row>
    <row r="313" spans="2:4" x14ac:dyDescent="0.25">
      <c r="B313" s="6"/>
      <c r="D313" s="6"/>
    </row>
    <row r="314" spans="2:4" x14ac:dyDescent="0.25">
      <c r="B314" s="6"/>
      <c r="D314" s="6"/>
    </row>
    <row r="315" spans="2:4" x14ac:dyDescent="0.25">
      <c r="B315" s="6"/>
      <c r="D315" s="6"/>
    </row>
    <row r="316" spans="2:4" x14ac:dyDescent="0.25">
      <c r="B316" s="6"/>
      <c r="D316" s="6"/>
    </row>
    <row r="317" spans="2:4" x14ac:dyDescent="0.25">
      <c r="B317" s="6"/>
      <c r="D317" s="6"/>
    </row>
    <row r="318" spans="2:4" x14ac:dyDescent="0.25">
      <c r="B318" s="6"/>
      <c r="D318" s="6"/>
    </row>
    <row r="319" spans="2:4" x14ac:dyDescent="0.25">
      <c r="B319" s="6"/>
      <c r="D319" s="6"/>
    </row>
    <row r="320" spans="2:4" x14ac:dyDescent="0.25">
      <c r="B320" s="6"/>
      <c r="D320" s="6"/>
    </row>
    <row r="321" spans="2:4" x14ac:dyDescent="0.25">
      <c r="B321" s="6"/>
      <c r="D321" s="6"/>
    </row>
    <row r="322" spans="2:4" x14ac:dyDescent="0.25">
      <c r="B322" s="6"/>
      <c r="D322" s="6"/>
    </row>
    <row r="323" spans="2:4" x14ac:dyDescent="0.25">
      <c r="B323" s="6"/>
      <c r="D323" s="6"/>
    </row>
    <row r="324" spans="2:4" x14ac:dyDescent="0.25">
      <c r="B324" s="6"/>
      <c r="D324" s="6"/>
    </row>
    <row r="325" spans="2:4" x14ac:dyDescent="0.25">
      <c r="B325" s="6"/>
      <c r="D325" s="6"/>
    </row>
    <row r="326" spans="2:4" x14ac:dyDescent="0.25">
      <c r="B326" s="6"/>
      <c r="D326" s="6"/>
    </row>
    <row r="327" spans="2:4" x14ac:dyDescent="0.25">
      <c r="B327" s="6"/>
      <c r="D327" s="6"/>
    </row>
    <row r="328" spans="2:4" x14ac:dyDescent="0.25">
      <c r="B328" s="6"/>
      <c r="D328" s="6"/>
    </row>
    <row r="329" spans="2:4" x14ac:dyDescent="0.25">
      <c r="B329" s="6"/>
      <c r="D329" s="6"/>
    </row>
    <row r="330" spans="2:4" x14ac:dyDescent="0.25">
      <c r="B330" s="6"/>
      <c r="D330" s="6"/>
    </row>
    <row r="331" spans="2:4" x14ac:dyDescent="0.25">
      <c r="B331" s="6"/>
      <c r="D331" s="6"/>
    </row>
    <row r="332" spans="2:4" x14ac:dyDescent="0.25">
      <c r="B332" s="6"/>
      <c r="D332" s="6"/>
    </row>
    <row r="333" spans="2:4" x14ac:dyDescent="0.25">
      <c r="B333" s="6"/>
      <c r="D333" s="6"/>
    </row>
    <row r="334" spans="2:4" x14ac:dyDescent="0.25">
      <c r="B334" s="6"/>
      <c r="D334" s="6"/>
    </row>
    <row r="335" spans="2:4" x14ac:dyDescent="0.25">
      <c r="B335" s="6"/>
      <c r="D335" s="6"/>
    </row>
    <row r="336" spans="2:4" x14ac:dyDescent="0.25">
      <c r="B336" s="6"/>
      <c r="D336" s="6"/>
    </row>
    <row r="337" spans="2:4" x14ac:dyDescent="0.25">
      <c r="B337" s="6"/>
      <c r="D337" s="6"/>
    </row>
    <row r="338" spans="2:4" x14ac:dyDescent="0.25">
      <c r="B338" s="6"/>
      <c r="D338" s="6"/>
    </row>
    <row r="339" spans="2:4" x14ac:dyDescent="0.25">
      <c r="B339" s="6"/>
      <c r="D339" s="6"/>
    </row>
    <row r="340" spans="2:4" x14ac:dyDescent="0.25">
      <c r="B340" s="6"/>
      <c r="D340" s="6"/>
    </row>
    <row r="341" spans="2:4" x14ac:dyDescent="0.25">
      <c r="B341" s="6"/>
      <c r="D341" s="6"/>
    </row>
    <row r="342" spans="2:4" x14ac:dyDescent="0.25">
      <c r="B342" s="6"/>
      <c r="D342" s="6"/>
    </row>
    <row r="343" spans="2:4" x14ac:dyDescent="0.25">
      <c r="B343" s="6"/>
      <c r="D343" s="6"/>
    </row>
    <row r="344" spans="2:4" x14ac:dyDescent="0.25">
      <c r="B344" s="6"/>
      <c r="D344" s="6"/>
    </row>
    <row r="345" spans="2:4" x14ac:dyDescent="0.25">
      <c r="B345" s="6"/>
      <c r="D345" s="6"/>
    </row>
    <row r="346" spans="2:4" x14ac:dyDescent="0.25">
      <c r="B346" s="6"/>
      <c r="D346" s="6"/>
    </row>
    <row r="347" spans="2:4" x14ac:dyDescent="0.25">
      <c r="B347" s="6"/>
      <c r="D347" s="6"/>
    </row>
    <row r="348" spans="2:4" x14ac:dyDescent="0.25">
      <c r="B348" s="6"/>
      <c r="D348" s="6"/>
    </row>
    <row r="349" spans="2:4" x14ac:dyDescent="0.25">
      <c r="B349" s="6"/>
      <c r="D349" s="6"/>
    </row>
    <row r="350" spans="2:4" x14ac:dyDescent="0.25">
      <c r="B350" s="6"/>
      <c r="D350" s="6"/>
    </row>
    <row r="351" spans="2:4" x14ac:dyDescent="0.25">
      <c r="B351" s="6"/>
      <c r="D351" s="6"/>
    </row>
    <row r="352" spans="2:4" x14ac:dyDescent="0.25">
      <c r="B352" s="6"/>
      <c r="D352" s="6"/>
    </row>
    <row r="353" spans="2:4" x14ac:dyDescent="0.25">
      <c r="B353" s="6"/>
      <c r="D353" s="6"/>
    </row>
    <row r="354" spans="2:4" x14ac:dyDescent="0.25">
      <c r="B354" s="6"/>
      <c r="D354" s="6"/>
    </row>
    <row r="355" spans="2:4" x14ac:dyDescent="0.25">
      <c r="B355" s="6"/>
      <c r="D355" s="6"/>
    </row>
    <row r="356" spans="2:4" x14ac:dyDescent="0.25">
      <c r="B356" s="6"/>
      <c r="D356" s="6"/>
    </row>
    <row r="357" spans="2:4" x14ac:dyDescent="0.25">
      <c r="B357" s="6"/>
      <c r="D357" s="6"/>
    </row>
    <row r="358" spans="2:4" x14ac:dyDescent="0.25">
      <c r="B358" s="6"/>
      <c r="D358" s="6"/>
    </row>
    <row r="359" spans="2:4" x14ac:dyDescent="0.25">
      <c r="B359" s="6"/>
      <c r="D359" s="6"/>
    </row>
    <row r="360" spans="2:4" x14ac:dyDescent="0.25">
      <c r="B360" s="6"/>
      <c r="D360" s="6"/>
    </row>
    <row r="361" spans="2:4" x14ac:dyDescent="0.25">
      <c r="B361" s="6"/>
      <c r="D361" s="6"/>
    </row>
    <row r="362" spans="2:4" x14ac:dyDescent="0.25">
      <c r="B362" s="6"/>
      <c r="D362" s="6"/>
    </row>
    <row r="363" spans="2:4" x14ac:dyDescent="0.25">
      <c r="B363" s="6"/>
      <c r="D363" s="6"/>
    </row>
    <row r="364" spans="2:4" x14ac:dyDescent="0.25">
      <c r="B364" s="6"/>
      <c r="D364" s="6"/>
    </row>
    <row r="365" spans="2:4" x14ac:dyDescent="0.25">
      <c r="B365" s="6"/>
      <c r="D365" s="6"/>
    </row>
    <row r="366" spans="2:4" x14ac:dyDescent="0.25">
      <c r="B366" s="6"/>
      <c r="D366" s="6"/>
    </row>
    <row r="367" spans="2:4" x14ac:dyDescent="0.25">
      <c r="B367" s="6"/>
      <c r="D367" s="6"/>
    </row>
    <row r="368" spans="2:4" x14ac:dyDescent="0.25">
      <c r="B368" s="6"/>
      <c r="D368" s="6"/>
    </row>
    <row r="369" spans="2:4" x14ac:dyDescent="0.25">
      <c r="B369" s="6"/>
      <c r="D369" s="6"/>
    </row>
    <row r="370" spans="2:4" x14ac:dyDescent="0.25">
      <c r="B370" s="6"/>
      <c r="D370" s="6"/>
    </row>
    <row r="371" spans="2:4" x14ac:dyDescent="0.25">
      <c r="B371" s="6"/>
      <c r="D371" s="6"/>
    </row>
    <row r="372" spans="2:4" x14ac:dyDescent="0.25">
      <c r="B372" s="6"/>
      <c r="D372" s="6"/>
    </row>
    <row r="373" spans="2:4" x14ac:dyDescent="0.25">
      <c r="B373" s="6"/>
      <c r="D373" s="6"/>
    </row>
    <row r="374" spans="2:4" x14ac:dyDescent="0.25">
      <c r="B374" s="6"/>
      <c r="D374" s="6"/>
    </row>
    <row r="375" spans="2:4" x14ac:dyDescent="0.25">
      <c r="B375" s="6"/>
      <c r="D375" s="6"/>
    </row>
    <row r="376" spans="2:4" x14ac:dyDescent="0.25">
      <c r="B376" s="6"/>
      <c r="D376" s="6"/>
    </row>
    <row r="377" spans="2:4" x14ac:dyDescent="0.25">
      <c r="B377" s="6"/>
      <c r="D377" s="6"/>
    </row>
    <row r="378" spans="2:4" x14ac:dyDescent="0.25">
      <c r="B378" s="6"/>
      <c r="D378" s="6"/>
    </row>
    <row r="379" spans="2:4" x14ac:dyDescent="0.25">
      <c r="B379" s="6"/>
      <c r="D379" s="6"/>
    </row>
    <row r="380" spans="2:4" x14ac:dyDescent="0.25">
      <c r="B380" s="6"/>
      <c r="D380" s="6"/>
    </row>
    <row r="381" spans="2:4" x14ac:dyDescent="0.25">
      <c r="B381" s="6"/>
      <c r="D381" s="6"/>
    </row>
    <row r="382" spans="2:4" x14ac:dyDescent="0.25">
      <c r="B382" s="6"/>
      <c r="D382" s="6"/>
    </row>
    <row r="383" spans="2:4" x14ac:dyDescent="0.25">
      <c r="B383" s="6"/>
      <c r="D383" s="6"/>
    </row>
    <row r="384" spans="2:4" x14ac:dyDescent="0.25">
      <c r="B384" s="6"/>
      <c r="D384" s="6"/>
    </row>
    <row r="385" spans="2:4" x14ac:dyDescent="0.25">
      <c r="B385" s="6"/>
      <c r="D385" s="6"/>
    </row>
    <row r="386" spans="2:4" x14ac:dyDescent="0.25">
      <c r="B386" s="6"/>
      <c r="D386" s="6"/>
    </row>
    <row r="387" spans="2:4" x14ac:dyDescent="0.25">
      <c r="B387" s="6"/>
      <c r="D387" s="6"/>
    </row>
    <row r="388" spans="2:4" x14ac:dyDescent="0.25">
      <c r="B388" s="6"/>
      <c r="D388" s="6"/>
    </row>
    <row r="389" spans="2:4" x14ac:dyDescent="0.25">
      <c r="B389" s="6"/>
      <c r="D389" s="6"/>
    </row>
    <row r="390" spans="2:4" x14ac:dyDescent="0.25">
      <c r="B390" s="6"/>
      <c r="D390" s="6"/>
    </row>
    <row r="391" spans="2:4" x14ac:dyDescent="0.25">
      <c r="B391" s="6"/>
      <c r="D391" s="6"/>
    </row>
    <row r="392" spans="2:4" x14ac:dyDescent="0.25">
      <c r="B392" s="6"/>
      <c r="D392" s="6"/>
    </row>
    <row r="393" spans="2:4" x14ac:dyDescent="0.25">
      <c r="B393" s="6"/>
      <c r="D393" s="6"/>
    </row>
    <row r="394" spans="2:4" x14ac:dyDescent="0.25">
      <c r="B394" s="6"/>
      <c r="D394" s="6"/>
    </row>
    <row r="395" spans="2:4" x14ac:dyDescent="0.25">
      <c r="B395" s="6"/>
      <c r="D395" s="6"/>
    </row>
    <row r="396" spans="2:4" x14ac:dyDescent="0.25">
      <c r="B396" s="6"/>
      <c r="D396" s="6"/>
    </row>
    <row r="397" spans="2:4" x14ac:dyDescent="0.25">
      <c r="B397" s="6"/>
      <c r="D397" s="6"/>
    </row>
    <row r="398" spans="2:4" x14ac:dyDescent="0.25">
      <c r="B398" s="6"/>
      <c r="D398" s="6"/>
    </row>
    <row r="399" spans="2:4" x14ac:dyDescent="0.25">
      <c r="B399" s="6"/>
      <c r="D399" s="6"/>
    </row>
    <row r="400" spans="2:4" x14ac:dyDescent="0.25">
      <c r="B400" s="6"/>
      <c r="D400" s="6"/>
    </row>
    <row r="401" spans="2:4" x14ac:dyDescent="0.25">
      <c r="B401" s="6"/>
      <c r="D401" s="6"/>
    </row>
    <row r="402" spans="2:4" x14ac:dyDescent="0.25">
      <c r="B402" s="6"/>
      <c r="D402" s="6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J329"/>
  <sheetViews>
    <sheetView showGridLines="0" workbookViewId="0">
      <selection activeCell="J19" sqref="J19"/>
    </sheetView>
  </sheetViews>
  <sheetFormatPr defaultColWidth="0" defaultRowHeight="15" x14ac:dyDescent="0.25"/>
  <cols>
    <col min="1" max="1" width="4" style="8" customWidth="1"/>
    <col min="2" max="3" width="9.7109375" style="8" customWidth="1"/>
    <col min="4" max="4" width="15.5703125" style="12" bestFit="1" customWidth="1"/>
    <col min="5" max="5" width="14.85546875" style="19" bestFit="1" customWidth="1"/>
    <col min="6" max="6" width="15.5703125" style="19" bestFit="1" customWidth="1"/>
    <col min="7" max="7" width="14.28515625" style="13" bestFit="1" customWidth="1"/>
    <col min="8" max="8" width="18.5703125" style="12" customWidth="1"/>
    <col min="9" max="10" width="16.28515625" style="13" customWidth="1"/>
    <col min="11" max="16384" width="9.140625" style="8" hidden="1"/>
  </cols>
  <sheetData>
    <row r="2" spans="3:10" ht="15" customHeight="1" x14ac:dyDescent="0.5">
      <c r="D2" s="70" t="s">
        <v>73</v>
      </c>
      <c r="E2" s="69"/>
      <c r="F2" s="69"/>
      <c r="G2" s="69"/>
      <c r="H2" s="69"/>
      <c r="I2" s="69"/>
      <c r="J2" s="26"/>
    </row>
    <row r="3" spans="3:10" ht="15" customHeight="1" x14ac:dyDescent="0.5">
      <c r="D3" s="70"/>
      <c r="E3" s="69"/>
      <c r="F3" s="69"/>
      <c r="G3" s="69"/>
      <c r="H3" s="69"/>
      <c r="I3" s="69"/>
      <c r="J3" s="26"/>
    </row>
    <row r="5" spans="3:10" x14ac:dyDescent="0.25">
      <c r="F5" s="8"/>
      <c r="G5" s="8"/>
      <c r="H5" s="8"/>
      <c r="I5" s="8"/>
      <c r="J5" s="8"/>
    </row>
    <row r="6" spans="3:10" ht="17.25" x14ac:dyDescent="0.3">
      <c r="D6" s="71" t="s">
        <v>74</v>
      </c>
      <c r="E6" s="72"/>
      <c r="F6" s="16"/>
      <c r="G6" s="8" t="str">
        <f>IF(F6&gt;0,"O valor informado deve ser negativo","")</f>
        <v/>
      </c>
      <c r="H6" s="8"/>
      <c r="I6" s="8"/>
      <c r="J6" s="8"/>
    </row>
    <row r="7" spans="3:10" ht="17.25" x14ac:dyDescent="0.3">
      <c r="D7" s="71" t="s">
        <v>75</v>
      </c>
      <c r="E7" s="72"/>
      <c r="F7" s="28">
        <f>SUM(D13:D319)-SUM(E13:F319)</f>
        <v>0</v>
      </c>
      <c r="G7" s="8"/>
      <c r="H7" s="8"/>
      <c r="I7" s="8"/>
      <c r="J7" s="8"/>
    </row>
    <row r="8" spans="3:10" ht="17.25" x14ac:dyDescent="0.3">
      <c r="D8" s="71" t="s">
        <v>76</v>
      </c>
      <c r="E8" s="73"/>
      <c r="F8" s="27">
        <f>SUM(G13:G319)</f>
        <v>0</v>
      </c>
      <c r="G8" s="8"/>
      <c r="H8" s="8"/>
      <c r="I8" s="8"/>
      <c r="J8" s="8"/>
    </row>
    <row r="9" spans="3:10" ht="17.25" x14ac:dyDescent="0.3">
      <c r="D9" s="71" t="s">
        <v>77</v>
      </c>
      <c r="E9" s="74"/>
      <c r="F9" s="28">
        <f>IF(F7+F6&gt;0,(F7+F6)*0.2-F8,F6+F7)</f>
        <v>0</v>
      </c>
      <c r="G9" s="8" t="str">
        <f>IF(F9&lt;0,"",IF(F9&lt;10,"Imposto menor que R$ 10,00, acumular para o mês seguinte.",""))</f>
        <v>Imposto menor que R$ 10,00, acumular para o mês seguinte.</v>
      </c>
      <c r="H9" s="8"/>
      <c r="I9" s="8"/>
      <c r="J9" s="8"/>
    </row>
    <row r="10" spans="3:10" x14ac:dyDescent="0.25">
      <c r="F10" s="8"/>
      <c r="G10" s="8"/>
      <c r="H10" s="8"/>
      <c r="I10" s="8"/>
      <c r="J10" s="8"/>
    </row>
    <row r="11" spans="3:10" x14ac:dyDescent="0.25">
      <c r="F11" s="8"/>
      <c r="G11" s="8"/>
      <c r="H11" s="8"/>
      <c r="I11" s="8"/>
      <c r="J11" s="8"/>
    </row>
    <row r="12" spans="3:10" x14ac:dyDescent="0.25">
      <c r="C12" s="54" t="s">
        <v>63</v>
      </c>
      <c r="D12" s="54" t="s">
        <v>64</v>
      </c>
      <c r="E12" s="55" t="s">
        <v>78</v>
      </c>
      <c r="F12" s="55" t="s">
        <v>79</v>
      </c>
      <c r="G12" s="55" t="s">
        <v>76</v>
      </c>
      <c r="H12"/>
      <c r="I12" s="8"/>
      <c r="J12" s="8"/>
    </row>
    <row r="13" spans="3:10" x14ac:dyDescent="0.25">
      <c r="C13" s="25"/>
      <c r="D13" s="29"/>
      <c r="E13" s="1"/>
      <c r="F13" s="1"/>
      <c r="G13" s="1"/>
    </row>
    <row r="14" spans="3:10" x14ac:dyDescent="0.25">
      <c r="C14" s="25"/>
      <c r="D14" s="29"/>
      <c r="E14" s="1"/>
      <c r="F14" s="1"/>
      <c r="G14" s="1"/>
      <c r="I14" s="8"/>
      <c r="J14" s="8"/>
    </row>
    <row r="15" spans="3:10" x14ac:dyDescent="0.25">
      <c r="G15" s="19"/>
      <c r="I15" s="8"/>
      <c r="J15" s="8"/>
    </row>
    <row r="16" spans="3:10" x14ac:dyDescent="0.25">
      <c r="G16" s="19"/>
      <c r="I16" s="8"/>
      <c r="J16" s="8"/>
    </row>
    <row r="17" spans="6:9" x14ac:dyDescent="0.25">
      <c r="G17" s="19"/>
    </row>
    <row r="18" spans="6:9" x14ac:dyDescent="0.25">
      <c r="G18" s="19"/>
    </row>
    <row r="19" spans="6:9" x14ac:dyDescent="0.25">
      <c r="G19" s="19"/>
    </row>
    <row r="20" spans="6:9" x14ac:dyDescent="0.25">
      <c r="G20" s="19"/>
    </row>
    <row r="21" spans="6:9" x14ac:dyDescent="0.25">
      <c r="G21" s="19"/>
    </row>
    <row r="22" spans="6:9" x14ac:dyDescent="0.25">
      <c r="G22" s="19"/>
    </row>
    <row r="23" spans="6:9" x14ac:dyDescent="0.25">
      <c r="G23" s="19"/>
    </row>
    <row r="24" spans="6:9" x14ac:dyDescent="0.25">
      <c r="G24" s="19"/>
    </row>
    <row r="25" spans="6:9" x14ac:dyDescent="0.25">
      <c r="G25" s="19"/>
    </row>
    <row r="26" spans="6:9" x14ac:dyDescent="0.25">
      <c r="F26" s="19" t="str">
        <f>IF(B26="","",RTD("octo.rtdserver","",B26,"56"))</f>
        <v/>
      </c>
      <c r="G26" s="19" t="str">
        <f>IF(B26="","",RTD("octo.rtdserver","",B26,"60"))</f>
        <v/>
      </c>
      <c r="I26" s="13" t="str">
        <f t="shared" ref="I26:I76" si="0">IF(B26="","",(H26/(D26*E26)*100))</f>
        <v/>
      </c>
    </row>
    <row r="27" spans="6:9" x14ac:dyDescent="0.25">
      <c r="F27" s="19" t="str">
        <f>IF(B27="","",RTD("octo.rtdserver","",B27,"56"))</f>
        <v/>
      </c>
      <c r="G27" s="19" t="str">
        <f>IF(B27="","",RTD("octo.rtdserver","",B27,"60"))</f>
        <v/>
      </c>
      <c r="I27" s="13" t="str">
        <f t="shared" si="0"/>
        <v/>
      </c>
    </row>
    <row r="28" spans="6:9" x14ac:dyDescent="0.25">
      <c r="F28" s="19" t="str">
        <f>IF(B28="","",RTD("octo.rtdserver","",B28,"56"))</f>
        <v/>
      </c>
      <c r="G28" s="19" t="str">
        <f>IF(B28="","",RTD("octo.rtdserver","",B28,"60"))</f>
        <v/>
      </c>
      <c r="I28" s="13" t="str">
        <f t="shared" si="0"/>
        <v/>
      </c>
    </row>
    <row r="29" spans="6:9" x14ac:dyDescent="0.25">
      <c r="F29" s="19" t="str">
        <f>IF(B29="","",RTD("octo.rtdserver","",B29,"56"))</f>
        <v/>
      </c>
      <c r="G29" s="19" t="str">
        <f>IF(B29="","",RTD("octo.rtdserver","",B29,"60"))</f>
        <v/>
      </c>
      <c r="I29" s="13" t="str">
        <f t="shared" si="0"/>
        <v/>
      </c>
    </row>
    <row r="30" spans="6:9" x14ac:dyDescent="0.25">
      <c r="F30" s="19" t="str">
        <f>IF(B30="","",RTD("octo.rtdserver","",B30,"56"))</f>
        <v/>
      </c>
      <c r="G30" s="19" t="str">
        <f>IF(B30="","",RTD("octo.rtdserver","",B30,"60"))</f>
        <v/>
      </c>
      <c r="I30" s="13" t="str">
        <f t="shared" si="0"/>
        <v/>
      </c>
    </row>
    <row r="31" spans="6:9" x14ac:dyDescent="0.25">
      <c r="F31" s="19" t="str">
        <f>IF(B31="","",RTD("octo.rtdserver","",B31,"56"))</f>
        <v/>
      </c>
      <c r="G31" s="19" t="str">
        <f>IF(B31="","",RTD("octo.rtdserver","",B31,"60"))</f>
        <v/>
      </c>
      <c r="I31" s="13" t="str">
        <f t="shared" si="0"/>
        <v/>
      </c>
    </row>
    <row r="32" spans="6:9" x14ac:dyDescent="0.25">
      <c r="F32" s="19" t="str">
        <f>IF(B32="","",RTD("octo.rtdserver","",B32,"56"))</f>
        <v/>
      </c>
      <c r="G32" s="19" t="str">
        <f>IF(B32="","",RTD("octo.rtdserver","",B32,"60"))</f>
        <v/>
      </c>
      <c r="I32" s="13" t="str">
        <f t="shared" si="0"/>
        <v/>
      </c>
    </row>
    <row r="33" spans="6:9" x14ac:dyDescent="0.25">
      <c r="F33" s="19" t="str">
        <f>IF(B33="","",RTD("octo.rtdserver","",B33,"56"))</f>
        <v/>
      </c>
      <c r="G33" s="19" t="str">
        <f>IF(B33="","",RTD("octo.rtdserver","",B33,"60"))</f>
        <v/>
      </c>
      <c r="I33" s="13" t="str">
        <f t="shared" si="0"/>
        <v/>
      </c>
    </row>
    <row r="34" spans="6:9" x14ac:dyDescent="0.25">
      <c r="F34" s="19" t="str">
        <f>IF(B34="","",RTD("octo.rtdserver","",B34,"56"))</f>
        <v/>
      </c>
      <c r="G34" s="19" t="str">
        <f>IF(B34="","",RTD("octo.rtdserver","",B34,"60"))</f>
        <v/>
      </c>
      <c r="I34" s="13" t="str">
        <f t="shared" si="0"/>
        <v/>
      </c>
    </row>
    <row r="35" spans="6:9" x14ac:dyDescent="0.25">
      <c r="F35" s="19" t="str">
        <f>IF(B35="","",RTD("octo.rtdserver","",B35,"56"))</f>
        <v/>
      </c>
      <c r="G35" s="19" t="str">
        <f>IF(B35="","",RTD("octo.rtdserver","",B35,"60"))</f>
        <v/>
      </c>
      <c r="I35" s="13" t="str">
        <f t="shared" si="0"/>
        <v/>
      </c>
    </row>
    <row r="36" spans="6:9" x14ac:dyDescent="0.25">
      <c r="F36" s="19" t="str">
        <f>IF(B36="","",RTD("octo.rtdserver","",B36,"56"))</f>
        <v/>
      </c>
      <c r="G36" s="19" t="str">
        <f>IF(B36="","",RTD("octo.rtdserver","",B36,"60"))</f>
        <v/>
      </c>
      <c r="I36" s="13" t="str">
        <f t="shared" si="0"/>
        <v/>
      </c>
    </row>
    <row r="37" spans="6:9" x14ac:dyDescent="0.25">
      <c r="F37" s="19" t="str">
        <f>IF(B37="","",RTD("octo.rtdserver","",B37,"56"))</f>
        <v/>
      </c>
      <c r="G37" s="19" t="str">
        <f>IF(B37="","",RTD("octo.rtdserver","",B37,"60"))</f>
        <v/>
      </c>
      <c r="I37" s="13" t="str">
        <f t="shared" si="0"/>
        <v/>
      </c>
    </row>
    <row r="38" spans="6:9" x14ac:dyDescent="0.25">
      <c r="F38" s="19" t="str">
        <f>IF(B38="","",RTD("octo.rtdserver","",B38,"56"))</f>
        <v/>
      </c>
      <c r="G38" s="19" t="str">
        <f>IF(B38="","",RTD("octo.rtdserver","",B38,"60"))</f>
        <v/>
      </c>
      <c r="I38" s="13" t="str">
        <f t="shared" si="0"/>
        <v/>
      </c>
    </row>
    <row r="39" spans="6:9" x14ac:dyDescent="0.25">
      <c r="F39" s="19" t="str">
        <f>IF(B39="","",RTD("octo.rtdserver","",B39,"56"))</f>
        <v/>
      </c>
      <c r="G39" s="19" t="str">
        <f>IF(B39="","",RTD("octo.rtdserver","",B39,"60"))</f>
        <v/>
      </c>
      <c r="I39" s="13" t="str">
        <f t="shared" si="0"/>
        <v/>
      </c>
    </row>
    <row r="40" spans="6:9" x14ac:dyDescent="0.25">
      <c r="F40" s="19" t="str">
        <f>IF(B40="","",RTD("octo.rtdserver","",B40,"56"))</f>
        <v/>
      </c>
      <c r="G40" s="19" t="str">
        <f>IF(B40="","",RTD("octo.rtdserver","",B40,"60"))</f>
        <v/>
      </c>
      <c r="I40" s="13" t="str">
        <f t="shared" si="0"/>
        <v/>
      </c>
    </row>
    <row r="41" spans="6:9" x14ac:dyDescent="0.25">
      <c r="F41" s="19" t="str">
        <f>IF(B41="","",RTD("octo.rtdserver","",B41,"56"))</f>
        <v/>
      </c>
      <c r="G41" s="19" t="str">
        <f>IF(B41="","",RTD("octo.rtdserver","",B41,"60"))</f>
        <v/>
      </c>
      <c r="I41" s="13" t="str">
        <f t="shared" si="0"/>
        <v/>
      </c>
    </row>
    <row r="42" spans="6:9" x14ac:dyDescent="0.25">
      <c r="F42" s="19" t="str">
        <f>IF(B42="","",RTD("octo.rtdserver","",B42,"56"))</f>
        <v/>
      </c>
      <c r="G42" s="19" t="str">
        <f>IF(B42="","",RTD("octo.rtdserver","",B42,"60"))</f>
        <v/>
      </c>
      <c r="I42" s="13" t="str">
        <f t="shared" si="0"/>
        <v/>
      </c>
    </row>
    <row r="43" spans="6:9" x14ac:dyDescent="0.25">
      <c r="F43" s="19" t="str">
        <f>IF(B43="","",RTD("octo.rtdserver","",B43,"56"))</f>
        <v/>
      </c>
      <c r="G43" s="19" t="str">
        <f>IF(B43="","",RTD("octo.rtdserver","",B43,"60"))</f>
        <v/>
      </c>
      <c r="I43" s="13" t="str">
        <f t="shared" si="0"/>
        <v/>
      </c>
    </row>
    <row r="44" spans="6:9" x14ac:dyDescent="0.25">
      <c r="F44" s="19" t="str">
        <f>IF(B44="","",RTD("octo.rtdserver","",B44,"56"))</f>
        <v/>
      </c>
      <c r="G44" s="19" t="str">
        <f>IF(B44="","",RTD("octo.rtdserver","",B44,"60"))</f>
        <v/>
      </c>
      <c r="I44" s="13" t="str">
        <f t="shared" si="0"/>
        <v/>
      </c>
    </row>
    <row r="45" spans="6:9" x14ac:dyDescent="0.25">
      <c r="F45" s="19" t="str">
        <f>IF(B45="","",RTD("octo.rtdserver","",B45,"56"))</f>
        <v/>
      </c>
      <c r="G45" s="19" t="str">
        <f>IF(B45="","",RTD("octo.rtdserver","",B45,"60"))</f>
        <v/>
      </c>
      <c r="I45" s="13" t="str">
        <f t="shared" si="0"/>
        <v/>
      </c>
    </row>
    <row r="46" spans="6:9" x14ac:dyDescent="0.25">
      <c r="F46" s="19" t="str">
        <f>IF(B46="","",RTD("octo.rtdserver","",B46,"56"))</f>
        <v/>
      </c>
      <c r="G46" s="19" t="str">
        <f>IF(B46="","",RTD("octo.rtdserver","",B46,"60"))</f>
        <v/>
      </c>
      <c r="I46" s="13" t="str">
        <f t="shared" si="0"/>
        <v/>
      </c>
    </row>
    <row r="47" spans="6:9" x14ac:dyDescent="0.25">
      <c r="F47" s="19" t="str">
        <f>IF(B47="","",RTD("octo.rtdserver","",B47,"56"))</f>
        <v/>
      </c>
      <c r="G47" s="19" t="str">
        <f>IF(B47="","",RTD("octo.rtdserver","",B47,"60"))</f>
        <v/>
      </c>
      <c r="I47" s="13" t="str">
        <f t="shared" si="0"/>
        <v/>
      </c>
    </row>
    <row r="48" spans="6:9" x14ac:dyDescent="0.25">
      <c r="F48" s="19" t="str">
        <f>IF(B48="","",RTD("octo.rtdserver","",B48,"56"))</f>
        <v/>
      </c>
      <c r="G48" s="19" t="str">
        <f>IF(B48="","",RTD("octo.rtdserver","",B48,"60"))</f>
        <v/>
      </c>
      <c r="I48" s="13" t="str">
        <f t="shared" si="0"/>
        <v/>
      </c>
    </row>
    <row r="49" spans="6:9" x14ac:dyDescent="0.25">
      <c r="F49" s="19" t="str">
        <f>IF(B49="","",RTD("octo.rtdserver","",B49,"56"))</f>
        <v/>
      </c>
      <c r="G49" s="19" t="str">
        <f>IF(B49="","",RTD("octo.rtdserver","",B49,"60"))</f>
        <v/>
      </c>
      <c r="I49" s="13" t="str">
        <f t="shared" si="0"/>
        <v/>
      </c>
    </row>
    <row r="50" spans="6:9" x14ac:dyDescent="0.25">
      <c r="F50" s="19" t="str">
        <f>IF(B50="","",RTD("octo.rtdserver","",B50,"56"))</f>
        <v/>
      </c>
      <c r="G50" s="19" t="str">
        <f>IF(B50="","",RTD("octo.rtdserver","",B50,"60"))</f>
        <v/>
      </c>
      <c r="I50" s="13" t="str">
        <f t="shared" si="0"/>
        <v/>
      </c>
    </row>
    <row r="51" spans="6:9" x14ac:dyDescent="0.25">
      <c r="F51" s="19" t="str">
        <f>IF(B51="","",RTD("octo.rtdserver","",B51,"56"))</f>
        <v/>
      </c>
      <c r="G51" s="19" t="str">
        <f>IF(B51="","",RTD("octo.rtdserver","",B51,"60"))</f>
        <v/>
      </c>
      <c r="I51" s="13" t="str">
        <f t="shared" si="0"/>
        <v/>
      </c>
    </row>
    <row r="52" spans="6:9" x14ac:dyDescent="0.25">
      <c r="F52" s="19" t="str">
        <f>IF(B52="","",RTD("octo.rtdserver","",B52,"56"))</f>
        <v/>
      </c>
      <c r="G52" s="19" t="str">
        <f>IF(B52="","",RTD("octo.rtdserver","",B52,"60"))</f>
        <v/>
      </c>
      <c r="I52" s="13" t="str">
        <f t="shared" si="0"/>
        <v/>
      </c>
    </row>
    <row r="53" spans="6:9" x14ac:dyDescent="0.25">
      <c r="F53" s="19" t="str">
        <f>IF(B53="","",RTD("octo.rtdserver","",B53,"56"))</f>
        <v/>
      </c>
      <c r="G53" s="19" t="str">
        <f>IF(B53="","",RTD("octo.rtdserver","",B53,"60"))</f>
        <v/>
      </c>
      <c r="I53" s="13" t="str">
        <f t="shared" si="0"/>
        <v/>
      </c>
    </row>
    <row r="54" spans="6:9" x14ac:dyDescent="0.25">
      <c r="F54" s="19" t="str">
        <f>IF(B54="","",RTD("octo.rtdserver","",B54,"56"))</f>
        <v/>
      </c>
      <c r="G54" s="19" t="str">
        <f>IF(B54="","",RTD("octo.rtdserver","",B54,"60"))</f>
        <v/>
      </c>
      <c r="I54" s="13" t="str">
        <f t="shared" si="0"/>
        <v/>
      </c>
    </row>
    <row r="55" spans="6:9" x14ac:dyDescent="0.25">
      <c r="F55" s="19" t="str">
        <f>IF(B55="","",RTD("octo.rtdserver","",B55,"56"))</f>
        <v/>
      </c>
      <c r="G55" s="19" t="str">
        <f>IF(B55="","",RTD("octo.rtdserver","",B55,"60"))</f>
        <v/>
      </c>
      <c r="I55" s="13" t="str">
        <f t="shared" si="0"/>
        <v/>
      </c>
    </row>
    <row r="56" spans="6:9" x14ac:dyDescent="0.25">
      <c r="F56" s="19" t="str">
        <f>IF(B56="","",RTD("octo.rtdserver","",B56,"56"))</f>
        <v/>
      </c>
      <c r="G56" s="19" t="str">
        <f>IF(B56="","",RTD("octo.rtdserver","",B56,"60"))</f>
        <v/>
      </c>
      <c r="I56" s="13" t="str">
        <f t="shared" si="0"/>
        <v/>
      </c>
    </row>
    <row r="57" spans="6:9" x14ac:dyDescent="0.25">
      <c r="F57" s="19" t="str">
        <f>IF(B57="","",RTD("octo.rtdserver","",B57,"56"))</f>
        <v/>
      </c>
      <c r="G57" s="19" t="str">
        <f>IF(B57="","",RTD("octo.rtdserver","",B57,"60"))</f>
        <v/>
      </c>
      <c r="I57" s="13" t="str">
        <f t="shared" si="0"/>
        <v/>
      </c>
    </row>
    <row r="58" spans="6:9" x14ac:dyDescent="0.25">
      <c r="F58" s="19" t="str">
        <f>IF(B58="","",RTD("octo.rtdserver","",B58,"56"))</f>
        <v/>
      </c>
      <c r="G58" s="19" t="str">
        <f>IF(B58="","",RTD("octo.rtdserver","",B58,"60"))</f>
        <v/>
      </c>
      <c r="I58" s="13" t="str">
        <f t="shared" si="0"/>
        <v/>
      </c>
    </row>
    <row r="59" spans="6:9" x14ac:dyDescent="0.25">
      <c r="F59" s="19" t="str">
        <f>IF(B59="","",RTD("octo.rtdserver","",B59,"56"))</f>
        <v/>
      </c>
      <c r="G59" s="19" t="str">
        <f>IF(B59="","",RTD("octo.rtdserver","",B59,"60"))</f>
        <v/>
      </c>
      <c r="I59" s="13" t="str">
        <f t="shared" si="0"/>
        <v/>
      </c>
    </row>
    <row r="60" spans="6:9" x14ac:dyDescent="0.25">
      <c r="F60" s="19" t="str">
        <f>IF(B60="","",RTD("octo.rtdserver","",B60,"56"))</f>
        <v/>
      </c>
      <c r="G60" s="19" t="str">
        <f>IF(B60="","",RTD("octo.rtdserver","",B60,"60"))</f>
        <v/>
      </c>
      <c r="I60" s="13" t="str">
        <f t="shared" si="0"/>
        <v/>
      </c>
    </row>
    <row r="61" spans="6:9" x14ac:dyDescent="0.25">
      <c r="F61" s="19" t="str">
        <f>IF(B61="","",RTD("octo.rtdserver","",B61,"56"))</f>
        <v/>
      </c>
      <c r="G61" s="19" t="str">
        <f>IF(B61="","",RTD("octo.rtdserver","",B61,"60"))</f>
        <v/>
      </c>
      <c r="I61" s="13" t="str">
        <f t="shared" si="0"/>
        <v/>
      </c>
    </row>
    <row r="62" spans="6:9" x14ac:dyDescent="0.25">
      <c r="F62" s="19" t="str">
        <f>IF(B62="","",RTD("octo.rtdserver","",B62,"56"))</f>
        <v/>
      </c>
      <c r="G62" s="19" t="str">
        <f>IF(B62="","",RTD("octo.rtdserver","",B62,"60"))</f>
        <v/>
      </c>
      <c r="I62" s="13" t="str">
        <f t="shared" si="0"/>
        <v/>
      </c>
    </row>
    <row r="63" spans="6:9" x14ac:dyDescent="0.25">
      <c r="F63" s="19" t="str">
        <f>IF(B63="","",RTD("octo.rtdserver","",B63,"56"))</f>
        <v/>
      </c>
      <c r="G63" s="19" t="str">
        <f>IF(B63="","",RTD("octo.rtdserver","",B63,"60"))</f>
        <v/>
      </c>
      <c r="I63" s="13" t="str">
        <f t="shared" si="0"/>
        <v/>
      </c>
    </row>
    <row r="64" spans="6:9" x14ac:dyDescent="0.25">
      <c r="F64" s="19" t="str">
        <f>IF(B64="","",RTD("octo.rtdserver","",B64,"56"))</f>
        <v/>
      </c>
      <c r="G64" s="19" t="str">
        <f>IF(B64="","",RTD("octo.rtdserver","",B64,"60"))</f>
        <v/>
      </c>
      <c r="I64" s="13" t="str">
        <f t="shared" si="0"/>
        <v/>
      </c>
    </row>
    <row r="65" spans="6:9" x14ac:dyDescent="0.25">
      <c r="F65" s="19" t="str">
        <f>IF(B65="","",RTD("octo.rtdserver","",B65,"56"))</f>
        <v/>
      </c>
      <c r="G65" s="19" t="str">
        <f>IF(B65="","",RTD("octo.rtdserver","",B65,"60"))</f>
        <v/>
      </c>
      <c r="I65" s="13" t="str">
        <f t="shared" si="0"/>
        <v/>
      </c>
    </row>
    <row r="66" spans="6:9" x14ac:dyDescent="0.25">
      <c r="F66" s="19" t="str">
        <f>IF(B66="","",RTD("octo.rtdserver","",B66,"56"))</f>
        <v/>
      </c>
      <c r="G66" s="19" t="str">
        <f>IF(B66="","",RTD("octo.rtdserver","",B66,"60"))</f>
        <v/>
      </c>
      <c r="I66" s="13" t="str">
        <f t="shared" si="0"/>
        <v/>
      </c>
    </row>
    <row r="67" spans="6:9" x14ac:dyDescent="0.25">
      <c r="F67" s="19" t="str">
        <f>IF(B67="","",RTD("octo.rtdserver","",B67,"56"))</f>
        <v/>
      </c>
      <c r="G67" s="19" t="str">
        <f>IF(B67="","",RTD("octo.rtdserver","",B67,"60"))</f>
        <v/>
      </c>
      <c r="I67" s="13" t="str">
        <f t="shared" si="0"/>
        <v/>
      </c>
    </row>
    <row r="68" spans="6:9" x14ac:dyDescent="0.25">
      <c r="F68" s="19" t="str">
        <f>IF(B68="","",RTD("octo.rtdserver","",B68,"56"))</f>
        <v/>
      </c>
      <c r="G68" s="19" t="str">
        <f>IF(B68="","",RTD("octo.rtdserver","",B68,"60"))</f>
        <v/>
      </c>
      <c r="I68" s="13" t="str">
        <f t="shared" si="0"/>
        <v/>
      </c>
    </row>
    <row r="69" spans="6:9" x14ac:dyDescent="0.25">
      <c r="F69" s="19" t="str">
        <f>IF(B69="","",RTD("octo.rtdserver","",B69,"56"))</f>
        <v/>
      </c>
      <c r="G69" s="19" t="str">
        <f>IF(B69="","",RTD("octo.rtdserver","",B69,"60"))</f>
        <v/>
      </c>
      <c r="I69" s="13" t="str">
        <f t="shared" si="0"/>
        <v/>
      </c>
    </row>
    <row r="70" spans="6:9" x14ac:dyDescent="0.25">
      <c r="F70" s="19" t="str">
        <f>IF(B70="","",RTD("octo.rtdserver","",B70,"56"))</f>
        <v/>
      </c>
      <c r="G70" s="19" t="str">
        <f>IF(B70="","",RTD("octo.rtdserver","",B70,"60"))</f>
        <v/>
      </c>
      <c r="I70" s="13" t="str">
        <f t="shared" si="0"/>
        <v/>
      </c>
    </row>
    <row r="71" spans="6:9" x14ac:dyDescent="0.25">
      <c r="F71" s="19" t="str">
        <f>IF(B71="","",RTD("octo.rtdserver","",B71,"56"))</f>
        <v/>
      </c>
      <c r="G71" s="19" t="str">
        <f>IF(B71="","",RTD("octo.rtdserver","",B71,"60"))</f>
        <v/>
      </c>
      <c r="I71" s="13" t="str">
        <f t="shared" si="0"/>
        <v/>
      </c>
    </row>
    <row r="72" spans="6:9" x14ac:dyDescent="0.25">
      <c r="F72" s="19" t="str">
        <f>IF(B72="","",RTD("octo.rtdserver","",B72,"56"))</f>
        <v/>
      </c>
      <c r="G72" s="19" t="str">
        <f>IF(B72="","",RTD("octo.rtdserver","",B72,"60"))</f>
        <v/>
      </c>
      <c r="I72" s="13" t="str">
        <f t="shared" si="0"/>
        <v/>
      </c>
    </row>
    <row r="73" spans="6:9" x14ac:dyDescent="0.25">
      <c r="F73" s="19" t="str">
        <f>IF(B73="","",RTD("octo.rtdserver","",B73,"56"))</f>
        <v/>
      </c>
      <c r="G73" s="19" t="str">
        <f>IF(B73="","",RTD("octo.rtdserver","",B73,"60"))</f>
        <v/>
      </c>
      <c r="I73" s="13" t="str">
        <f t="shared" si="0"/>
        <v/>
      </c>
    </row>
    <row r="74" spans="6:9" x14ac:dyDescent="0.25">
      <c r="F74" s="19" t="str">
        <f>IF(B74="","",RTD("octo.rtdserver","",B74,"56"))</f>
        <v/>
      </c>
      <c r="G74" s="19" t="str">
        <f>IF(B74="","",RTD("octo.rtdserver","",B74,"60"))</f>
        <v/>
      </c>
      <c r="I74" s="13" t="str">
        <f t="shared" si="0"/>
        <v/>
      </c>
    </row>
    <row r="75" spans="6:9" x14ac:dyDescent="0.25">
      <c r="F75" s="19" t="str">
        <f>IF(B75="","",RTD("octo.rtdserver","",B75,"56"))</f>
        <v/>
      </c>
      <c r="G75" s="19" t="str">
        <f>IF(B75="","",RTD("octo.rtdserver","",B75,"60"))</f>
        <v/>
      </c>
      <c r="I75" s="13" t="str">
        <f t="shared" si="0"/>
        <v/>
      </c>
    </row>
    <row r="76" spans="6:9" x14ac:dyDescent="0.25">
      <c r="F76" s="19" t="str">
        <f>IF(B76="","",RTD("octo.rtdserver","",B76,"56"))</f>
        <v/>
      </c>
      <c r="G76" s="19" t="str">
        <f>IF(B76="","",RTD("octo.rtdserver","",B76,"60"))</f>
        <v/>
      </c>
      <c r="I76" s="13" t="str">
        <f t="shared" si="0"/>
        <v/>
      </c>
    </row>
    <row r="77" spans="6:9" x14ac:dyDescent="0.25">
      <c r="F77" s="19" t="str">
        <f>IF(B77="","",RTD("octo.rtdserver","",B77,"56"))</f>
        <v/>
      </c>
      <c r="G77" s="19" t="str">
        <f>IF(B77="","",RTD("octo.rtdserver","",B77,"60"))</f>
        <v/>
      </c>
      <c r="I77" s="13" t="str">
        <f t="shared" ref="I77:I140" si="1">IF(B77="","",(H77/(D77*E77)*100))</f>
        <v/>
      </c>
    </row>
    <row r="78" spans="6:9" x14ac:dyDescent="0.25">
      <c r="F78" s="19" t="str">
        <f>IF(B78="","",RTD("octo.rtdserver","",B78,"56"))</f>
        <v/>
      </c>
      <c r="G78" s="19" t="str">
        <f>IF(B78="","",RTD("octo.rtdserver","",B78,"60"))</f>
        <v/>
      </c>
      <c r="I78" s="13" t="str">
        <f t="shared" si="1"/>
        <v/>
      </c>
    </row>
    <row r="79" spans="6:9" x14ac:dyDescent="0.25">
      <c r="F79" s="19" t="str">
        <f>IF(B79="","",RTD("octo.rtdserver","",B79,"56"))</f>
        <v/>
      </c>
      <c r="G79" s="19" t="str">
        <f>IF(B79="","",RTD("octo.rtdserver","",B79,"60"))</f>
        <v/>
      </c>
      <c r="I79" s="13" t="str">
        <f t="shared" si="1"/>
        <v/>
      </c>
    </row>
    <row r="80" spans="6:9" x14ac:dyDescent="0.25">
      <c r="F80" s="19" t="str">
        <f>IF(B80="","",RTD("octo.rtdserver","",B80,"56"))</f>
        <v/>
      </c>
      <c r="G80" s="19" t="str">
        <f>IF(B80="","",RTD("octo.rtdserver","",B80,"60"))</f>
        <v/>
      </c>
      <c r="I80" s="13" t="str">
        <f t="shared" si="1"/>
        <v/>
      </c>
    </row>
    <row r="81" spans="6:9" x14ac:dyDescent="0.25">
      <c r="F81" s="19" t="str">
        <f>IF(B81="","",RTD("octo.rtdserver","",B81,"56"))</f>
        <v/>
      </c>
      <c r="G81" s="19" t="str">
        <f>IF(B81="","",RTD("octo.rtdserver","",B81,"60"))</f>
        <v/>
      </c>
      <c r="I81" s="13" t="str">
        <f t="shared" si="1"/>
        <v/>
      </c>
    </row>
    <row r="82" spans="6:9" x14ac:dyDescent="0.25">
      <c r="F82" s="19" t="str">
        <f>IF(B82="","",RTD("octo.rtdserver","",B82,"56"))</f>
        <v/>
      </c>
      <c r="G82" s="19" t="str">
        <f>IF(B82="","",RTD("octo.rtdserver","",B82,"60"))</f>
        <v/>
      </c>
      <c r="I82" s="13" t="str">
        <f t="shared" si="1"/>
        <v/>
      </c>
    </row>
    <row r="83" spans="6:9" x14ac:dyDescent="0.25">
      <c r="F83" s="19" t="str">
        <f>IF(B83="","",RTD("octo.rtdserver","",B83,"56"))</f>
        <v/>
      </c>
      <c r="G83" s="19" t="str">
        <f>IF(B83="","",RTD("octo.rtdserver","",B83,"60"))</f>
        <v/>
      </c>
      <c r="I83" s="13" t="str">
        <f t="shared" si="1"/>
        <v/>
      </c>
    </row>
    <row r="84" spans="6:9" x14ac:dyDescent="0.25">
      <c r="F84" s="19" t="str">
        <f>IF(B84="","",RTD("octo.rtdserver","",B84,"56"))</f>
        <v/>
      </c>
      <c r="G84" s="19" t="str">
        <f>IF(B84="","",RTD("octo.rtdserver","",B84,"60"))</f>
        <v/>
      </c>
      <c r="I84" s="13" t="str">
        <f t="shared" si="1"/>
        <v/>
      </c>
    </row>
    <row r="85" spans="6:9" x14ac:dyDescent="0.25">
      <c r="F85" s="19" t="str">
        <f>IF(B85="","",RTD("octo.rtdserver","",B85,"56"))</f>
        <v/>
      </c>
      <c r="G85" s="19" t="str">
        <f>IF(B85="","",RTD("octo.rtdserver","",B85,"60"))</f>
        <v/>
      </c>
      <c r="I85" s="13" t="str">
        <f t="shared" si="1"/>
        <v/>
      </c>
    </row>
    <row r="86" spans="6:9" x14ac:dyDescent="0.25">
      <c r="F86" s="19" t="str">
        <f>IF(B86="","",RTD("octo.rtdserver","",B86,"56"))</f>
        <v/>
      </c>
      <c r="G86" s="19" t="str">
        <f>IF(B86="","",RTD("octo.rtdserver","",B86,"60"))</f>
        <v/>
      </c>
      <c r="I86" s="13" t="str">
        <f t="shared" si="1"/>
        <v/>
      </c>
    </row>
    <row r="87" spans="6:9" x14ac:dyDescent="0.25">
      <c r="F87" s="19" t="str">
        <f>IF(B87="","",RTD("octo.rtdserver","",B87,"56"))</f>
        <v/>
      </c>
      <c r="G87" s="19" t="str">
        <f>IF(B87="","",RTD("octo.rtdserver","",B87,"60"))</f>
        <v/>
      </c>
      <c r="I87" s="13" t="str">
        <f t="shared" si="1"/>
        <v/>
      </c>
    </row>
    <row r="88" spans="6:9" x14ac:dyDescent="0.25">
      <c r="F88" s="19" t="str">
        <f>IF(B88="","",RTD("octo.rtdserver","",B88,"56"))</f>
        <v/>
      </c>
      <c r="G88" s="19" t="str">
        <f>IF(B88="","",RTD("octo.rtdserver","",B88,"60"))</f>
        <v/>
      </c>
      <c r="I88" s="13" t="str">
        <f t="shared" si="1"/>
        <v/>
      </c>
    </row>
    <row r="89" spans="6:9" x14ac:dyDescent="0.25">
      <c r="F89" s="19" t="str">
        <f>IF(B89="","",RTD("octo.rtdserver","",B89,"56"))</f>
        <v/>
      </c>
      <c r="G89" s="19" t="str">
        <f>IF(B89="","",RTD("octo.rtdserver","",B89,"60"))</f>
        <v/>
      </c>
      <c r="I89" s="13" t="str">
        <f t="shared" si="1"/>
        <v/>
      </c>
    </row>
    <row r="90" spans="6:9" x14ac:dyDescent="0.25">
      <c r="F90" s="19" t="str">
        <f>IF(B90="","",RTD("octo.rtdserver","",B90,"56"))</f>
        <v/>
      </c>
      <c r="G90" s="19" t="str">
        <f>IF(B90="","",RTD("octo.rtdserver","",B90,"60"))</f>
        <v/>
      </c>
      <c r="I90" s="13" t="str">
        <f t="shared" si="1"/>
        <v/>
      </c>
    </row>
    <row r="91" spans="6:9" x14ac:dyDescent="0.25">
      <c r="F91" s="19" t="str">
        <f>IF(B91="","",RTD("octo.rtdserver","",B91,"56"))</f>
        <v/>
      </c>
      <c r="G91" s="19" t="str">
        <f>IF(B91="","",RTD("octo.rtdserver","",B91,"60"))</f>
        <v/>
      </c>
      <c r="I91" s="13" t="str">
        <f t="shared" si="1"/>
        <v/>
      </c>
    </row>
    <row r="92" spans="6:9" x14ac:dyDescent="0.25">
      <c r="F92" s="19" t="str">
        <f>IF(B92="","",RTD("octo.rtdserver","",B92,"56"))</f>
        <v/>
      </c>
      <c r="G92" s="19" t="str">
        <f>IF(B92="","",RTD("octo.rtdserver","",B92,"60"))</f>
        <v/>
      </c>
      <c r="I92" s="13" t="str">
        <f t="shared" si="1"/>
        <v/>
      </c>
    </row>
    <row r="93" spans="6:9" x14ac:dyDescent="0.25">
      <c r="F93" s="19" t="str">
        <f>IF(B93="","",RTD("octo.rtdserver","",B93,"56"))</f>
        <v/>
      </c>
      <c r="G93" s="19" t="str">
        <f>IF(B93="","",RTD("octo.rtdserver","",B93,"60"))</f>
        <v/>
      </c>
      <c r="I93" s="13" t="str">
        <f t="shared" si="1"/>
        <v/>
      </c>
    </row>
    <row r="94" spans="6:9" x14ac:dyDescent="0.25">
      <c r="F94" s="19" t="str">
        <f>IF(B94="","",RTD("octo.rtdserver","",B94,"56"))</f>
        <v/>
      </c>
      <c r="G94" s="19" t="str">
        <f>IF(B94="","",RTD("octo.rtdserver","",B94,"60"))</f>
        <v/>
      </c>
      <c r="I94" s="13" t="str">
        <f t="shared" si="1"/>
        <v/>
      </c>
    </row>
    <row r="95" spans="6:9" x14ac:dyDescent="0.25">
      <c r="F95" s="19" t="str">
        <f>IF(B95="","",RTD("octo.rtdserver","",B95,"56"))</f>
        <v/>
      </c>
      <c r="G95" s="19" t="str">
        <f>IF(B95="","",RTD("octo.rtdserver","",B95,"60"))</f>
        <v/>
      </c>
      <c r="I95" s="13" t="str">
        <f t="shared" si="1"/>
        <v/>
      </c>
    </row>
    <row r="96" spans="6:9" x14ac:dyDescent="0.25">
      <c r="F96" s="19" t="str">
        <f>IF(B96="","",RTD("octo.rtdserver","",B96,"56"))</f>
        <v/>
      </c>
      <c r="G96" s="19" t="str">
        <f>IF(B96="","",RTD("octo.rtdserver","",B96,"60"))</f>
        <v/>
      </c>
      <c r="I96" s="13" t="str">
        <f t="shared" si="1"/>
        <v/>
      </c>
    </row>
    <row r="97" spans="6:9" x14ac:dyDescent="0.25">
      <c r="F97" s="19" t="str">
        <f>IF(B97="","",RTD("octo.rtdserver","",B97,"56"))</f>
        <v/>
      </c>
      <c r="G97" s="19" t="str">
        <f>IF(B97="","",RTD("octo.rtdserver","",B97,"60"))</f>
        <v/>
      </c>
      <c r="I97" s="13" t="str">
        <f t="shared" si="1"/>
        <v/>
      </c>
    </row>
    <row r="98" spans="6:9" x14ac:dyDescent="0.25">
      <c r="F98" s="19" t="str">
        <f>IF(B98="","",RTD("octo.rtdserver","",B98,"56"))</f>
        <v/>
      </c>
      <c r="G98" s="19" t="str">
        <f>IF(B98="","",RTD("octo.rtdserver","",B98,"60"))</f>
        <v/>
      </c>
      <c r="I98" s="13" t="str">
        <f t="shared" si="1"/>
        <v/>
      </c>
    </row>
    <row r="99" spans="6:9" x14ac:dyDescent="0.25">
      <c r="F99" s="19" t="str">
        <f>IF(B99="","",RTD("octo.rtdserver","",B99,"56"))</f>
        <v/>
      </c>
      <c r="G99" s="19" t="str">
        <f>IF(B99="","",RTD("octo.rtdserver","",B99,"60"))</f>
        <v/>
      </c>
      <c r="I99" s="13" t="str">
        <f t="shared" si="1"/>
        <v/>
      </c>
    </row>
    <row r="100" spans="6:9" x14ac:dyDescent="0.25">
      <c r="F100" s="19" t="str">
        <f>IF(B100="","",RTD("octo.rtdserver","",B100,"56"))</f>
        <v/>
      </c>
      <c r="G100" s="19" t="str">
        <f>IF(B100="","",RTD("octo.rtdserver","",B100,"60"))</f>
        <v/>
      </c>
      <c r="I100" s="13" t="str">
        <f t="shared" si="1"/>
        <v/>
      </c>
    </row>
    <row r="101" spans="6:9" x14ac:dyDescent="0.25">
      <c r="F101" s="19" t="str">
        <f>IF(B101="","",RTD("octo.rtdserver","",B101,"56"))</f>
        <v/>
      </c>
      <c r="G101" s="19" t="str">
        <f>IF(B101="","",RTD("octo.rtdserver","",B101,"60"))</f>
        <v/>
      </c>
      <c r="I101" s="13" t="str">
        <f t="shared" si="1"/>
        <v/>
      </c>
    </row>
    <row r="102" spans="6:9" x14ac:dyDescent="0.25">
      <c r="F102" s="19" t="str">
        <f>IF(B102="","",RTD("octo.rtdserver","",B102,"56"))</f>
        <v/>
      </c>
      <c r="G102" s="19" t="str">
        <f>IF(B102="","",RTD("octo.rtdserver","",B102,"60"))</f>
        <v/>
      </c>
      <c r="I102" s="13" t="str">
        <f t="shared" si="1"/>
        <v/>
      </c>
    </row>
    <row r="103" spans="6:9" x14ac:dyDescent="0.25">
      <c r="F103" s="19" t="str">
        <f>IF(B103="","",RTD("octo.rtdserver","",B103,"56"))</f>
        <v/>
      </c>
      <c r="G103" s="19" t="str">
        <f>IF(B103="","",RTD("octo.rtdserver","",B103,"60"))</f>
        <v/>
      </c>
      <c r="I103" s="13" t="str">
        <f t="shared" si="1"/>
        <v/>
      </c>
    </row>
    <row r="104" spans="6:9" x14ac:dyDescent="0.25">
      <c r="F104" s="19" t="str">
        <f>IF(B104="","",RTD("octo.rtdserver","",B104,"56"))</f>
        <v/>
      </c>
      <c r="G104" s="19" t="str">
        <f>IF(B104="","",RTD("octo.rtdserver","",B104,"60"))</f>
        <v/>
      </c>
      <c r="I104" s="13" t="str">
        <f t="shared" si="1"/>
        <v/>
      </c>
    </row>
    <row r="105" spans="6:9" x14ac:dyDescent="0.25">
      <c r="F105" s="19" t="str">
        <f>IF(B105="","",RTD("octo.rtdserver","",B105,"56"))</f>
        <v/>
      </c>
      <c r="G105" s="19" t="str">
        <f>IF(B105="","",RTD("octo.rtdserver","",B105,"60"))</f>
        <v/>
      </c>
      <c r="I105" s="13" t="str">
        <f t="shared" si="1"/>
        <v/>
      </c>
    </row>
    <row r="106" spans="6:9" x14ac:dyDescent="0.25">
      <c r="F106" s="19" t="str">
        <f>IF(B106="","",RTD("octo.rtdserver","",B106,"56"))</f>
        <v/>
      </c>
      <c r="G106" s="19" t="str">
        <f>IF(B106="","",RTD("octo.rtdserver","",B106,"60"))</f>
        <v/>
      </c>
      <c r="I106" s="13" t="str">
        <f t="shared" si="1"/>
        <v/>
      </c>
    </row>
    <row r="107" spans="6:9" x14ac:dyDescent="0.25">
      <c r="F107" s="19" t="str">
        <f>IF(B107="","",RTD("octo.rtdserver","",B107,"56"))</f>
        <v/>
      </c>
      <c r="G107" s="19" t="str">
        <f>IF(B107="","",RTD("octo.rtdserver","",B107,"60"))</f>
        <v/>
      </c>
      <c r="I107" s="13" t="str">
        <f t="shared" si="1"/>
        <v/>
      </c>
    </row>
    <row r="108" spans="6:9" x14ac:dyDescent="0.25">
      <c r="F108" s="19" t="str">
        <f>IF(B108="","",RTD("octo.rtdserver","",B108,"56"))</f>
        <v/>
      </c>
      <c r="G108" s="19" t="str">
        <f>IF(B108="","",RTD("octo.rtdserver","",B108,"60"))</f>
        <v/>
      </c>
      <c r="I108" s="13" t="str">
        <f t="shared" si="1"/>
        <v/>
      </c>
    </row>
    <row r="109" spans="6:9" x14ac:dyDescent="0.25">
      <c r="F109" s="19" t="str">
        <f>IF(B109="","",RTD("octo.rtdserver","",B109,"56"))</f>
        <v/>
      </c>
      <c r="G109" s="19" t="str">
        <f>IF(B109="","",RTD("octo.rtdserver","",B109,"60"))</f>
        <v/>
      </c>
      <c r="I109" s="13" t="str">
        <f t="shared" si="1"/>
        <v/>
      </c>
    </row>
    <row r="110" spans="6:9" x14ac:dyDescent="0.25">
      <c r="F110" s="19" t="str">
        <f>IF(B110="","",RTD("octo.rtdserver","",B110,"56"))</f>
        <v/>
      </c>
      <c r="G110" s="19" t="str">
        <f>IF(B110="","",RTD("octo.rtdserver","",B110,"60"))</f>
        <v/>
      </c>
      <c r="I110" s="13" t="str">
        <f t="shared" si="1"/>
        <v/>
      </c>
    </row>
    <row r="111" spans="6:9" x14ac:dyDescent="0.25">
      <c r="F111" s="19" t="str">
        <f>IF(B111="","",RTD("octo.rtdserver","",B111,"56"))</f>
        <v/>
      </c>
      <c r="G111" s="19" t="str">
        <f>IF(B111="","",RTD("octo.rtdserver","",B111,"60"))</f>
        <v/>
      </c>
      <c r="I111" s="13" t="str">
        <f t="shared" si="1"/>
        <v/>
      </c>
    </row>
    <row r="112" spans="6:9" x14ac:dyDescent="0.25">
      <c r="F112" s="19" t="str">
        <f>IF(B112="","",RTD("octo.rtdserver","",B112,"56"))</f>
        <v/>
      </c>
      <c r="G112" s="19" t="str">
        <f>IF(B112="","",RTD("octo.rtdserver","",B112,"60"))</f>
        <v/>
      </c>
      <c r="I112" s="13" t="str">
        <f t="shared" si="1"/>
        <v/>
      </c>
    </row>
    <row r="113" spans="6:9" x14ac:dyDescent="0.25">
      <c r="F113" s="19" t="str">
        <f>IF(B113="","",RTD("octo.rtdserver","",B113,"56"))</f>
        <v/>
      </c>
      <c r="G113" s="19" t="str">
        <f>IF(B113="","",RTD("octo.rtdserver","",B113,"60"))</f>
        <v/>
      </c>
      <c r="I113" s="13" t="str">
        <f t="shared" si="1"/>
        <v/>
      </c>
    </row>
    <row r="114" spans="6:9" x14ac:dyDescent="0.25">
      <c r="F114" s="19" t="str">
        <f>IF(B114="","",RTD("octo.rtdserver","",B114,"56"))</f>
        <v/>
      </c>
      <c r="G114" s="19" t="str">
        <f>IF(B114="","",RTD("octo.rtdserver","",B114,"60"))</f>
        <v/>
      </c>
      <c r="I114" s="13" t="str">
        <f t="shared" si="1"/>
        <v/>
      </c>
    </row>
    <row r="115" spans="6:9" x14ac:dyDescent="0.25">
      <c r="F115" s="19" t="str">
        <f>IF(B115="","",RTD("octo.rtdserver","",B115,"56"))</f>
        <v/>
      </c>
      <c r="G115" s="19" t="str">
        <f>IF(B115="","",RTD("octo.rtdserver","",B115,"60"))</f>
        <v/>
      </c>
      <c r="I115" s="13" t="str">
        <f t="shared" si="1"/>
        <v/>
      </c>
    </row>
    <row r="116" spans="6:9" x14ac:dyDescent="0.25">
      <c r="F116" s="19" t="str">
        <f>IF(B116="","",RTD("octo.rtdserver","",B116,"56"))</f>
        <v/>
      </c>
      <c r="G116" s="19" t="str">
        <f>IF(B116="","",RTD("octo.rtdserver","",B116,"60"))</f>
        <v/>
      </c>
      <c r="I116" s="13" t="str">
        <f t="shared" si="1"/>
        <v/>
      </c>
    </row>
    <row r="117" spans="6:9" x14ac:dyDescent="0.25">
      <c r="F117" s="19" t="str">
        <f>IF(B117="","",RTD("octo.rtdserver","",B117,"56"))</f>
        <v/>
      </c>
      <c r="G117" s="19" t="str">
        <f>IF(B117="","",RTD("octo.rtdserver","",B117,"60"))</f>
        <v/>
      </c>
      <c r="I117" s="13" t="str">
        <f t="shared" si="1"/>
        <v/>
      </c>
    </row>
    <row r="118" spans="6:9" x14ac:dyDescent="0.25">
      <c r="F118" s="19" t="str">
        <f>IF(B118="","",RTD("octo.rtdserver","",B118,"56"))</f>
        <v/>
      </c>
      <c r="G118" s="19" t="str">
        <f>IF(B118="","",RTD("octo.rtdserver","",B118,"60"))</f>
        <v/>
      </c>
      <c r="I118" s="13" t="str">
        <f t="shared" si="1"/>
        <v/>
      </c>
    </row>
    <row r="119" spans="6:9" x14ac:dyDescent="0.25">
      <c r="F119" s="19" t="str">
        <f>IF(B119="","",RTD("octo.rtdserver","",B119,"56"))</f>
        <v/>
      </c>
      <c r="G119" s="19" t="str">
        <f>IF(B119="","",RTD("octo.rtdserver","",B119,"60"))</f>
        <v/>
      </c>
      <c r="I119" s="13" t="str">
        <f t="shared" si="1"/>
        <v/>
      </c>
    </row>
    <row r="120" spans="6:9" x14ac:dyDescent="0.25">
      <c r="F120" s="19" t="str">
        <f>IF(B120="","",RTD("octo.rtdserver","",B120,"56"))</f>
        <v/>
      </c>
      <c r="G120" s="19" t="str">
        <f>IF(B120="","",RTD("octo.rtdserver","",B120,"60"))</f>
        <v/>
      </c>
      <c r="I120" s="13" t="str">
        <f t="shared" si="1"/>
        <v/>
      </c>
    </row>
    <row r="121" spans="6:9" x14ac:dyDescent="0.25">
      <c r="F121" s="19" t="str">
        <f>IF(B121="","",RTD("octo.rtdserver","",B121,"56"))</f>
        <v/>
      </c>
      <c r="G121" s="19" t="str">
        <f>IF(B121="","",RTD("octo.rtdserver","",B121,"60"))</f>
        <v/>
      </c>
      <c r="I121" s="13" t="str">
        <f t="shared" si="1"/>
        <v/>
      </c>
    </row>
    <row r="122" spans="6:9" x14ac:dyDescent="0.25">
      <c r="F122" s="19" t="str">
        <f>IF(B122="","",RTD("octo.rtdserver","",B122,"56"))</f>
        <v/>
      </c>
      <c r="G122" s="19" t="str">
        <f>IF(B122="","",RTD("octo.rtdserver","",B122,"60"))</f>
        <v/>
      </c>
      <c r="I122" s="13" t="str">
        <f t="shared" si="1"/>
        <v/>
      </c>
    </row>
    <row r="123" spans="6:9" x14ac:dyDescent="0.25">
      <c r="F123" s="19" t="str">
        <f>IF(B123="","",RTD("octo.rtdserver","",B123,"56"))</f>
        <v/>
      </c>
      <c r="G123" s="19" t="str">
        <f>IF(B123="","",RTD("octo.rtdserver","",B123,"60"))</f>
        <v/>
      </c>
      <c r="I123" s="13" t="str">
        <f t="shared" si="1"/>
        <v/>
      </c>
    </row>
    <row r="124" spans="6:9" x14ac:dyDescent="0.25">
      <c r="F124" s="19" t="str">
        <f>IF(B124="","",RTD("octo.rtdserver","",B124,"56"))</f>
        <v/>
      </c>
      <c r="G124" s="19" t="str">
        <f>IF(B124="","",RTD("octo.rtdserver","",B124,"60"))</f>
        <v/>
      </c>
      <c r="I124" s="13" t="str">
        <f t="shared" si="1"/>
        <v/>
      </c>
    </row>
    <row r="125" spans="6:9" x14ac:dyDescent="0.25">
      <c r="F125" s="19" t="str">
        <f>IF(B125="","",RTD("octo.rtdserver","",B125,"56"))</f>
        <v/>
      </c>
      <c r="G125" s="19" t="str">
        <f>IF(B125="","",RTD("octo.rtdserver","",B125,"60"))</f>
        <v/>
      </c>
      <c r="I125" s="13" t="str">
        <f t="shared" si="1"/>
        <v/>
      </c>
    </row>
    <row r="126" spans="6:9" x14ac:dyDescent="0.25">
      <c r="F126" s="19" t="str">
        <f>IF(B126="","",RTD("octo.rtdserver","",B126,"56"))</f>
        <v/>
      </c>
      <c r="G126" s="19" t="str">
        <f>IF(B126="","",RTD("octo.rtdserver","",B126,"60"))</f>
        <v/>
      </c>
      <c r="I126" s="13" t="str">
        <f t="shared" si="1"/>
        <v/>
      </c>
    </row>
    <row r="127" spans="6:9" x14ac:dyDescent="0.25">
      <c r="F127" s="19" t="str">
        <f>IF(B127="","",RTD("octo.rtdserver","",B127,"56"))</f>
        <v/>
      </c>
      <c r="G127" s="19" t="str">
        <f>IF(B127="","",RTD("octo.rtdserver","",B127,"60"))</f>
        <v/>
      </c>
      <c r="I127" s="13" t="str">
        <f t="shared" si="1"/>
        <v/>
      </c>
    </row>
    <row r="128" spans="6:9" x14ac:dyDescent="0.25">
      <c r="F128" s="19" t="str">
        <f>IF(B128="","",RTD("octo.rtdserver","",B128,"56"))</f>
        <v/>
      </c>
      <c r="G128" s="19" t="str">
        <f>IF(B128="","",RTD("octo.rtdserver","",B128,"60"))</f>
        <v/>
      </c>
      <c r="I128" s="13" t="str">
        <f t="shared" si="1"/>
        <v/>
      </c>
    </row>
    <row r="129" spans="6:9" x14ac:dyDescent="0.25">
      <c r="F129" s="19" t="str">
        <f>IF(B129="","",RTD("octo.rtdserver","",B129,"56"))</f>
        <v/>
      </c>
      <c r="G129" s="19" t="str">
        <f>IF(B129="","",RTD("octo.rtdserver","",B129,"60"))</f>
        <v/>
      </c>
      <c r="I129" s="13" t="str">
        <f t="shared" si="1"/>
        <v/>
      </c>
    </row>
    <row r="130" spans="6:9" x14ac:dyDescent="0.25">
      <c r="F130" s="19" t="str">
        <f>IF(B130="","",RTD("octo.rtdserver","",B130,"56"))</f>
        <v/>
      </c>
      <c r="G130" s="19" t="str">
        <f>IF(B130="","",RTD("octo.rtdserver","",B130,"60"))</f>
        <v/>
      </c>
      <c r="I130" s="13" t="str">
        <f t="shared" si="1"/>
        <v/>
      </c>
    </row>
    <row r="131" spans="6:9" x14ac:dyDescent="0.25">
      <c r="F131" s="19" t="str">
        <f>IF(B131="","",RTD("octo.rtdserver","",B131,"56"))</f>
        <v/>
      </c>
      <c r="G131" s="19" t="str">
        <f>IF(B131="","",RTD("octo.rtdserver","",B131,"60"))</f>
        <v/>
      </c>
      <c r="I131" s="13" t="str">
        <f t="shared" si="1"/>
        <v/>
      </c>
    </row>
    <row r="132" spans="6:9" x14ac:dyDescent="0.25">
      <c r="F132" s="19" t="str">
        <f>IF(B132="","",RTD("octo.rtdserver","",B132,"56"))</f>
        <v/>
      </c>
      <c r="G132" s="19" t="str">
        <f>IF(B132="","",RTD("octo.rtdserver","",B132,"60"))</f>
        <v/>
      </c>
      <c r="I132" s="13" t="str">
        <f t="shared" si="1"/>
        <v/>
      </c>
    </row>
    <row r="133" spans="6:9" x14ac:dyDescent="0.25">
      <c r="F133" s="19" t="str">
        <f>IF(B133="","",RTD("octo.rtdserver","",B133,"56"))</f>
        <v/>
      </c>
      <c r="G133" s="19" t="str">
        <f>IF(B133="","",RTD("octo.rtdserver","",B133,"60"))</f>
        <v/>
      </c>
      <c r="I133" s="13" t="str">
        <f t="shared" si="1"/>
        <v/>
      </c>
    </row>
    <row r="134" spans="6:9" x14ac:dyDescent="0.25">
      <c r="F134" s="19" t="str">
        <f>IF(B134="","",RTD("octo.rtdserver","",B134,"56"))</f>
        <v/>
      </c>
      <c r="G134" s="19" t="str">
        <f>IF(B134="","",RTD("octo.rtdserver","",B134,"60"))</f>
        <v/>
      </c>
      <c r="I134" s="13" t="str">
        <f t="shared" si="1"/>
        <v/>
      </c>
    </row>
    <row r="135" spans="6:9" x14ac:dyDescent="0.25">
      <c r="F135" s="19" t="str">
        <f>IF(B135="","",RTD("octo.rtdserver","",B135,"56"))</f>
        <v/>
      </c>
      <c r="G135" s="19" t="str">
        <f>IF(B135="","",RTD("octo.rtdserver","",B135,"60"))</f>
        <v/>
      </c>
      <c r="I135" s="13" t="str">
        <f t="shared" si="1"/>
        <v/>
      </c>
    </row>
    <row r="136" spans="6:9" x14ac:dyDescent="0.25">
      <c r="F136" s="19" t="str">
        <f>IF(B136="","",RTD("octo.rtdserver","",B136,"56"))</f>
        <v/>
      </c>
      <c r="G136" s="19" t="str">
        <f>IF(B136="","",RTD("octo.rtdserver","",B136,"60"))</f>
        <v/>
      </c>
      <c r="I136" s="13" t="str">
        <f t="shared" si="1"/>
        <v/>
      </c>
    </row>
    <row r="137" spans="6:9" x14ac:dyDescent="0.25">
      <c r="F137" s="19" t="str">
        <f>IF(B137="","",RTD("octo.rtdserver","",B137,"56"))</f>
        <v/>
      </c>
      <c r="G137" s="19" t="str">
        <f>IF(B137="","",RTD("octo.rtdserver","",B137,"60"))</f>
        <v/>
      </c>
      <c r="I137" s="13" t="str">
        <f t="shared" si="1"/>
        <v/>
      </c>
    </row>
    <row r="138" spans="6:9" x14ac:dyDescent="0.25">
      <c r="F138" s="19" t="str">
        <f>IF(B138="","",RTD("octo.rtdserver","",B138,"56"))</f>
        <v/>
      </c>
      <c r="G138" s="19" t="str">
        <f>IF(B138="","",RTD("octo.rtdserver","",B138,"60"))</f>
        <v/>
      </c>
      <c r="I138" s="13" t="str">
        <f t="shared" si="1"/>
        <v/>
      </c>
    </row>
    <row r="139" spans="6:9" x14ac:dyDescent="0.25">
      <c r="F139" s="19" t="str">
        <f>IF(B139="","",RTD("octo.rtdserver","",B139,"56"))</f>
        <v/>
      </c>
      <c r="G139" s="19" t="str">
        <f>IF(B139="","",RTD("octo.rtdserver","",B139,"60"))</f>
        <v/>
      </c>
      <c r="I139" s="13" t="str">
        <f t="shared" si="1"/>
        <v/>
      </c>
    </row>
    <row r="140" spans="6:9" x14ac:dyDescent="0.25">
      <c r="F140" s="19" t="str">
        <f>IF(B140="","",RTD("octo.rtdserver","",B140,"56"))</f>
        <v/>
      </c>
      <c r="G140" s="19" t="str">
        <f>IF(B140="","",RTD("octo.rtdserver","",B140,"60"))</f>
        <v/>
      </c>
      <c r="I140" s="13" t="str">
        <f t="shared" si="1"/>
        <v/>
      </c>
    </row>
    <row r="141" spans="6:9" x14ac:dyDescent="0.25">
      <c r="F141" s="19" t="str">
        <f>IF(B141="","",RTD("octo.rtdserver","",B141,"56"))</f>
        <v/>
      </c>
      <c r="G141" s="19" t="str">
        <f>IF(B141="","",RTD("octo.rtdserver","",B141,"60"))</f>
        <v/>
      </c>
      <c r="I141" s="13" t="str">
        <f t="shared" ref="I141:I204" si="2">IF(B141="","",(H141/(D141*E141)*100))</f>
        <v/>
      </c>
    </row>
    <row r="142" spans="6:9" x14ac:dyDescent="0.25">
      <c r="F142" s="19" t="str">
        <f>IF(B142="","",RTD("octo.rtdserver","",B142,"56"))</f>
        <v/>
      </c>
      <c r="G142" s="19" t="str">
        <f>IF(B142="","",RTD("octo.rtdserver","",B142,"60"))</f>
        <v/>
      </c>
      <c r="I142" s="13" t="str">
        <f t="shared" si="2"/>
        <v/>
      </c>
    </row>
    <row r="143" spans="6:9" x14ac:dyDescent="0.25">
      <c r="F143" s="19" t="str">
        <f>IF(B143="","",RTD("octo.rtdserver","",B143,"56"))</f>
        <v/>
      </c>
      <c r="G143" s="19" t="str">
        <f>IF(B143="","",RTD("octo.rtdserver","",B143,"60"))</f>
        <v/>
      </c>
      <c r="I143" s="13" t="str">
        <f t="shared" si="2"/>
        <v/>
      </c>
    </row>
    <row r="144" spans="6:9" x14ac:dyDescent="0.25">
      <c r="F144" s="19" t="str">
        <f>IF(B144="","",RTD("octo.rtdserver","",B144,"56"))</f>
        <v/>
      </c>
      <c r="G144" s="19" t="str">
        <f>IF(B144="","",RTD("octo.rtdserver","",B144,"60"))</f>
        <v/>
      </c>
      <c r="I144" s="13" t="str">
        <f t="shared" si="2"/>
        <v/>
      </c>
    </row>
    <row r="145" spans="6:9" x14ac:dyDescent="0.25">
      <c r="F145" s="19" t="str">
        <f>IF(B145="","",RTD("octo.rtdserver","",B145,"56"))</f>
        <v/>
      </c>
      <c r="G145" s="19" t="str">
        <f>IF(B145="","",RTD("octo.rtdserver","",B145,"60"))</f>
        <v/>
      </c>
      <c r="I145" s="13" t="str">
        <f t="shared" si="2"/>
        <v/>
      </c>
    </row>
    <row r="146" spans="6:9" x14ac:dyDescent="0.25">
      <c r="F146" s="19" t="str">
        <f>IF(B146="","",RTD("octo.rtdserver","",B146,"56"))</f>
        <v/>
      </c>
      <c r="G146" s="19" t="str">
        <f>IF(B146="","",RTD("octo.rtdserver","",B146,"60"))</f>
        <v/>
      </c>
      <c r="I146" s="13" t="str">
        <f t="shared" si="2"/>
        <v/>
      </c>
    </row>
    <row r="147" spans="6:9" x14ac:dyDescent="0.25">
      <c r="F147" s="19" t="str">
        <f>IF(B147="","",RTD("octo.rtdserver","",B147,"56"))</f>
        <v/>
      </c>
      <c r="G147" s="19" t="str">
        <f>IF(B147="","",RTD("octo.rtdserver","",B147,"60"))</f>
        <v/>
      </c>
      <c r="I147" s="13" t="str">
        <f t="shared" si="2"/>
        <v/>
      </c>
    </row>
    <row r="148" spans="6:9" x14ac:dyDescent="0.25">
      <c r="F148" s="19" t="str">
        <f>IF(B148="","",RTD("octo.rtdserver","",B148,"56"))</f>
        <v/>
      </c>
      <c r="G148" s="19" t="str">
        <f>IF(B148="","",RTD("octo.rtdserver","",B148,"60"))</f>
        <v/>
      </c>
      <c r="I148" s="13" t="str">
        <f t="shared" si="2"/>
        <v/>
      </c>
    </row>
    <row r="149" spans="6:9" x14ac:dyDescent="0.25">
      <c r="F149" s="19" t="str">
        <f>IF(B149="","",RTD("octo.rtdserver","",B149,"56"))</f>
        <v/>
      </c>
      <c r="G149" s="19" t="str">
        <f>IF(B149="","",RTD("octo.rtdserver","",B149,"60"))</f>
        <v/>
      </c>
      <c r="I149" s="13" t="str">
        <f t="shared" si="2"/>
        <v/>
      </c>
    </row>
    <row r="150" spans="6:9" x14ac:dyDescent="0.25">
      <c r="F150" s="19" t="str">
        <f>IF(B150="","",RTD("octo.rtdserver","",B150,"56"))</f>
        <v/>
      </c>
      <c r="G150" s="19" t="str">
        <f>IF(B150="","",RTD("octo.rtdserver","",B150,"60"))</f>
        <v/>
      </c>
      <c r="I150" s="13" t="str">
        <f t="shared" si="2"/>
        <v/>
      </c>
    </row>
    <row r="151" spans="6:9" x14ac:dyDescent="0.25">
      <c r="F151" s="19" t="str">
        <f>IF(B151="","",RTD("octo.rtdserver","",B151,"56"))</f>
        <v/>
      </c>
      <c r="G151" s="19" t="str">
        <f>IF(B151="","",RTD("octo.rtdserver","",B151,"60"))</f>
        <v/>
      </c>
      <c r="I151" s="13" t="str">
        <f t="shared" si="2"/>
        <v/>
      </c>
    </row>
    <row r="152" spans="6:9" x14ac:dyDescent="0.25">
      <c r="F152" s="19" t="str">
        <f>IF(B152="","",RTD("octo.rtdserver","",B152,"56"))</f>
        <v/>
      </c>
      <c r="G152" s="19" t="str">
        <f>IF(B152="","",RTD("octo.rtdserver","",B152,"60"))</f>
        <v/>
      </c>
      <c r="I152" s="13" t="str">
        <f t="shared" si="2"/>
        <v/>
      </c>
    </row>
    <row r="153" spans="6:9" x14ac:dyDescent="0.25">
      <c r="F153" s="19" t="str">
        <f>IF(B153="","",RTD("octo.rtdserver","",B153,"56"))</f>
        <v/>
      </c>
      <c r="G153" s="19" t="str">
        <f>IF(B153="","",RTD("octo.rtdserver","",B153,"60"))</f>
        <v/>
      </c>
      <c r="I153" s="13" t="str">
        <f t="shared" si="2"/>
        <v/>
      </c>
    </row>
    <row r="154" spans="6:9" x14ac:dyDescent="0.25">
      <c r="F154" s="19" t="str">
        <f>IF(B154="","",RTD("octo.rtdserver","",B154,"56"))</f>
        <v/>
      </c>
      <c r="G154" s="19" t="str">
        <f>IF(B154="","",RTD("octo.rtdserver","",B154,"60"))</f>
        <v/>
      </c>
      <c r="I154" s="13" t="str">
        <f t="shared" si="2"/>
        <v/>
      </c>
    </row>
    <row r="155" spans="6:9" x14ac:dyDescent="0.25">
      <c r="F155" s="19" t="str">
        <f>IF(B155="","",RTD("octo.rtdserver","",B155,"56"))</f>
        <v/>
      </c>
      <c r="G155" s="19" t="str">
        <f>IF(B155="","",RTD("octo.rtdserver","",B155,"60"))</f>
        <v/>
      </c>
      <c r="I155" s="13" t="str">
        <f t="shared" si="2"/>
        <v/>
      </c>
    </row>
    <row r="156" spans="6:9" x14ac:dyDescent="0.25">
      <c r="F156" s="19" t="str">
        <f>IF(B156="","",RTD("octo.rtdserver","",B156,"56"))</f>
        <v/>
      </c>
      <c r="G156" s="19" t="str">
        <f>IF(B156="","",RTD("octo.rtdserver","",B156,"60"))</f>
        <v/>
      </c>
      <c r="I156" s="13" t="str">
        <f t="shared" si="2"/>
        <v/>
      </c>
    </row>
    <row r="157" spans="6:9" x14ac:dyDescent="0.25">
      <c r="F157" s="19" t="str">
        <f>IF(B157="","",RTD("octo.rtdserver","",B157,"56"))</f>
        <v/>
      </c>
      <c r="G157" s="19" t="str">
        <f>IF(B157="","",RTD("octo.rtdserver","",B157,"60"))</f>
        <v/>
      </c>
      <c r="I157" s="13" t="str">
        <f t="shared" si="2"/>
        <v/>
      </c>
    </row>
    <row r="158" spans="6:9" x14ac:dyDescent="0.25">
      <c r="F158" s="19" t="str">
        <f>IF(B158="","",RTD("octo.rtdserver","",B158,"56"))</f>
        <v/>
      </c>
      <c r="G158" s="19" t="str">
        <f>IF(B158="","",RTD("octo.rtdserver","",B158,"60"))</f>
        <v/>
      </c>
      <c r="I158" s="13" t="str">
        <f t="shared" si="2"/>
        <v/>
      </c>
    </row>
    <row r="159" spans="6:9" x14ac:dyDescent="0.25">
      <c r="F159" s="19" t="str">
        <f>IF(B159="","",RTD("octo.rtdserver","",B159,"56"))</f>
        <v/>
      </c>
      <c r="G159" s="19" t="str">
        <f>IF(B159="","",RTD("octo.rtdserver","",B159,"60"))</f>
        <v/>
      </c>
      <c r="I159" s="13" t="str">
        <f t="shared" si="2"/>
        <v/>
      </c>
    </row>
    <row r="160" spans="6:9" x14ac:dyDescent="0.25">
      <c r="F160" s="19" t="str">
        <f>IF(B160="","",RTD("octo.rtdserver","",B160,"56"))</f>
        <v/>
      </c>
      <c r="G160" s="19" t="str">
        <f>IF(B160="","",RTD("octo.rtdserver","",B160,"60"))</f>
        <v/>
      </c>
      <c r="I160" s="13" t="str">
        <f t="shared" si="2"/>
        <v/>
      </c>
    </row>
    <row r="161" spans="6:9" x14ac:dyDescent="0.25">
      <c r="F161" s="19" t="str">
        <f>IF(B161="","",RTD("octo.rtdserver","",B161,"56"))</f>
        <v/>
      </c>
      <c r="G161" s="19" t="str">
        <f>IF(B161="","",RTD("octo.rtdserver","",B161,"60"))</f>
        <v/>
      </c>
      <c r="I161" s="13" t="str">
        <f t="shared" si="2"/>
        <v/>
      </c>
    </row>
    <row r="162" spans="6:9" x14ac:dyDescent="0.25">
      <c r="F162" s="19" t="str">
        <f>IF(B162="","",RTD("octo.rtdserver","",B162,"56"))</f>
        <v/>
      </c>
      <c r="G162" s="19" t="str">
        <f>IF(B162="","",RTD("octo.rtdserver","",B162,"60"))</f>
        <v/>
      </c>
      <c r="I162" s="13" t="str">
        <f t="shared" si="2"/>
        <v/>
      </c>
    </row>
    <row r="163" spans="6:9" x14ac:dyDescent="0.25">
      <c r="F163" s="19" t="str">
        <f>IF(B163="","",RTD("octo.rtdserver","",B163,"56"))</f>
        <v/>
      </c>
      <c r="G163" s="19" t="str">
        <f>IF(B163="","",RTD("octo.rtdserver","",B163,"60"))</f>
        <v/>
      </c>
      <c r="I163" s="13" t="str">
        <f t="shared" si="2"/>
        <v/>
      </c>
    </row>
    <row r="164" spans="6:9" x14ac:dyDescent="0.25">
      <c r="F164" s="19" t="str">
        <f>IF(B164="","",RTD("octo.rtdserver","",B164,"56"))</f>
        <v/>
      </c>
      <c r="G164" s="19" t="str">
        <f>IF(B164="","",RTD("octo.rtdserver","",B164,"60"))</f>
        <v/>
      </c>
      <c r="I164" s="13" t="str">
        <f t="shared" si="2"/>
        <v/>
      </c>
    </row>
    <row r="165" spans="6:9" x14ac:dyDescent="0.25">
      <c r="F165" s="19" t="str">
        <f>IF(B165="","",RTD("octo.rtdserver","",B165,"56"))</f>
        <v/>
      </c>
      <c r="G165" s="19" t="str">
        <f>IF(B165="","",RTD("octo.rtdserver","",B165,"60"))</f>
        <v/>
      </c>
      <c r="I165" s="13" t="str">
        <f t="shared" si="2"/>
        <v/>
      </c>
    </row>
    <row r="166" spans="6:9" x14ac:dyDescent="0.25">
      <c r="F166" s="19" t="str">
        <f>IF(B166="","",RTD("octo.rtdserver","",B166,"56"))</f>
        <v/>
      </c>
      <c r="G166" s="19" t="str">
        <f>IF(B166="","",RTD("octo.rtdserver","",B166,"60"))</f>
        <v/>
      </c>
      <c r="I166" s="13" t="str">
        <f t="shared" si="2"/>
        <v/>
      </c>
    </row>
    <row r="167" spans="6:9" x14ac:dyDescent="0.25">
      <c r="F167" s="19" t="str">
        <f>IF(B167="","",RTD("octo.rtdserver","",B167,"56"))</f>
        <v/>
      </c>
      <c r="G167" s="19" t="str">
        <f>IF(B167="","",RTD("octo.rtdserver","",B167,"60"))</f>
        <v/>
      </c>
      <c r="I167" s="13" t="str">
        <f t="shared" si="2"/>
        <v/>
      </c>
    </row>
    <row r="168" spans="6:9" x14ac:dyDescent="0.25">
      <c r="F168" s="19" t="str">
        <f>IF(B168="","",RTD("octo.rtdserver","",B168,"56"))</f>
        <v/>
      </c>
      <c r="G168" s="19" t="str">
        <f>IF(B168="","",RTD("octo.rtdserver","",B168,"60"))</f>
        <v/>
      </c>
      <c r="I168" s="13" t="str">
        <f t="shared" si="2"/>
        <v/>
      </c>
    </row>
    <row r="169" spans="6:9" x14ac:dyDescent="0.25">
      <c r="F169" s="19" t="str">
        <f>IF(B169="","",RTD("octo.rtdserver","",B169,"56"))</f>
        <v/>
      </c>
      <c r="G169" s="19" t="str">
        <f>IF(B169="","",RTD("octo.rtdserver","",B169,"60"))</f>
        <v/>
      </c>
      <c r="I169" s="13" t="str">
        <f t="shared" si="2"/>
        <v/>
      </c>
    </row>
    <row r="170" spans="6:9" x14ac:dyDescent="0.25">
      <c r="F170" s="19" t="str">
        <f>IF(B170="","",RTD("octo.rtdserver","",B170,"56"))</f>
        <v/>
      </c>
      <c r="G170" s="19" t="str">
        <f>IF(B170="","",RTD("octo.rtdserver","",B170,"60"))</f>
        <v/>
      </c>
      <c r="I170" s="13" t="str">
        <f t="shared" si="2"/>
        <v/>
      </c>
    </row>
    <row r="171" spans="6:9" x14ac:dyDescent="0.25">
      <c r="F171" s="19" t="str">
        <f>IF(B171="","",RTD("octo.rtdserver","",B171,"56"))</f>
        <v/>
      </c>
      <c r="G171" s="19" t="str">
        <f>IF(B171="","",RTD("octo.rtdserver","",B171,"60"))</f>
        <v/>
      </c>
      <c r="I171" s="13" t="str">
        <f t="shared" si="2"/>
        <v/>
      </c>
    </row>
    <row r="172" spans="6:9" x14ac:dyDescent="0.25">
      <c r="F172" s="19" t="str">
        <f>IF(B172="","",RTD("octo.rtdserver","",B172,"56"))</f>
        <v/>
      </c>
      <c r="G172" s="19" t="str">
        <f>IF(B172="","",RTD("octo.rtdserver","",B172,"60"))</f>
        <v/>
      </c>
      <c r="I172" s="13" t="str">
        <f t="shared" si="2"/>
        <v/>
      </c>
    </row>
    <row r="173" spans="6:9" x14ac:dyDescent="0.25">
      <c r="F173" s="19" t="str">
        <f>IF(B173="","",RTD("octo.rtdserver","",B173,"56"))</f>
        <v/>
      </c>
      <c r="G173" s="19" t="str">
        <f>IF(B173="","",RTD("octo.rtdserver","",B173,"60"))</f>
        <v/>
      </c>
      <c r="I173" s="13" t="str">
        <f t="shared" si="2"/>
        <v/>
      </c>
    </row>
    <row r="174" spans="6:9" x14ac:dyDescent="0.25">
      <c r="F174" s="19" t="str">
        <f>IF(B174="","",RTD("octo.rtdserver","",B174,"56"))</f>
        <v/>
      </c>
      <c r="G174" s="19" t="str">
        <f>IF(B174="","",RTD("octo.rtdserver","",B174,"60"))</f>
        <v/>
      </c>
      <c r="I174" s="13" t="str">
        <f t="shared" si="2"/>
        <v/>
      </c>
    </row>
    <row r="175" spans="6:9" x14ac:dyDescent="0.25">
      <c r="F175" s="19" t="str">
        <f>IF(B175="","",RTD("octo.rtdserver","",B175,"56"))</f>
        <v/>
      </c>
      <c r="G175" s="19" t="str">
        <f>IF(B175="","",RTD("octo.rtdserver","",B175,"60"))</f>
        <v/>
      </c>
      <c r="I175" s="13" t="str">
        <f t="shared" si="2"/>
        <v/>
      </c>
    </row>
    <row r="176" spans="6:9" x14ac:dyDescent="0.25">
      <c r="F176" s="19" t="str">
        <f>IF(B176="","",RTD("octo.rtdserver","",B176,"56"))</f>
        <v/>
      </c>
      <c r="G176" s="19" t="str">
        <f>IF(B176="","",RTD("octo.rtdserver","",B176,"60"))</f>
        <v/>
      </c>
      <c r="I176" s="13" t="str">
        <f t="shared" si="2"/>
        <v/>
      </c>
    </row>
    <row r="177" spans="6:9" x14ac:dyDescent="0.25">
      <c r="F177" s="19" t="str">
        <f>IF(B177="","",RTD("octo.rtdserver","",B177,"56"))</f>
        <v/>
      </c>
      <c r="G177" s="19" t="str">
        <f>IF(B177="","",RTD("octo.rtdserver","",B177,"60"))</f>
        <v/>
      </c>
      <c r="I177" s="13" t="str">
        <f t="shared" si="2"/>
        <v/>
      </c>
    </row>
    <row r="178" spans="6:9" x14ac:dyDescent="0.25">
      <c r="F178" s="19" t="str">
        <f>IF(B178="","",RTD("octo.rtdserver","",B178,"56"))</f>
        <v/>
      </c>
      <c r="G178" s="19" t="str">
        <f>IF(B178="","",RTD("octo.rtdserver","",B178,"60"))</f>
        <v/>
      </c>
      <c r="I178" s="13" t="str">
        <f t="shared" si="2"/>
        <v/>
      </c>
    </row>
    <row r="179" spans="6:9" x14ac:dyDescent="0.25">
      <c r="F179" s="19" t="str">
        <f>IF(B179="","",RTD("octo.rtdserver","",B179,"56"))</f>
        <v/>
      </c>
      <c r="G179" s="19" t="str">
        <f>IF(B179="","",RTD("octo.rtdserver","",B179,"60"))</f>
        <v/>
      </c>
      <c r="I179" s="13" t="str">
        <f t="shared" si="2"/>
        <v/>
      </c>
    </row>
    <row r="180" spans="6:9" x14ac:dyDescent="0.25">
      <c r="F180" s="19" t="str">
        <f>IF(B180="","",RTD("octo.rtdserver","",B180,"56"))</f>
        <v/>
      </c>
      <c r="G180" s="19" t="str">
        <f>IF(B180="","",RTD("octo.rtdserver","",B180,"60"))</f>
        <v/>
      </c>
      <c r="I180" s="13" t="str">
        <f t="shared" si="2"/>
        <v/>
      </c>
    </row>
    <row r="181" spans="6:9" x14ac:dyDescent="0.25">
      <c r="F181" s="19" t="str">
        <f>IF(B181="","",RTD("octo.rtdserver","",B181,"56"))</f>
        <v/>
      </c>
      <c r="G181" s="19" t="str">
        <f>IF(B181="","",RTD("octo.rtdserver","",B181,"60"))</f>
        <v/>
      </c>
      <c r="I181" s="13" t="str">
        <f t="shared" si="2"/>
        <v/>
      </c>
    </row>
    <row r="182" spans="6:9" x14ac:dyDescent="0.25">
      <c r="F182" s="19" t="str">
        <f>IF(B182="","",RTD("octo.rtdserver","",B182,"56"))</f>
        <v/>
      </c>
      <c r="G182" s="19" t="str">
        <f>IF(B182="","",RTD("octo.rtdserver","",B182,"60"))</f>
        <v/>
      </c>
      <c r="I182" s="13" t="str">
        <f t="shared" si="2"/>
        <v/>
      </c>
    </row>
    <row r="183" spans="6:9" x14ac:dyDescent="0.25">
      <c r="F183" s="19" t="str">
        <f>IF(B183="","",RTD("octo.rtdserver","",B183,"56"))</f>
        <v/>
      </c>
      <c r="G183" s="19" t="str">
        <f>IF(B183="","",RTD("octo.rtdserver","",B183,"60"))</f>
        <v/>
      </c>
      <c r="I183" s="13" t="str">
        <f t="shared" si="2"/>
        <v/>
      </c>
    </row>
    <row r="184" spans="6:9" x14ac:dyDescent="0.25">
      <c r="F184" s="19" t="str">
        <f>IF(B184="","",RTD("octo.rtdserver","",B184,"56"))</f>
        <v/>
      </c>
      <c r="G184" s="19" t="str">
        <f>IF(B184="","",RTD("octo.rtdserver","",B184,"60"))</f>
        <v/>
      </c>
      <c r="I184" s="13" t="str">
        <f t="shared" si="2"/>
        <v/>
      </c>
    </row>
    <row r="185" spans="6:9" x14ac:dyDescent="0.25">
      <c r="F185" s="19" t="str">
        <f>IF(B185="","",RTD("octo.rtdserver","",B185,"56"))</f>
        <v/>
      </c>
      <c r="G185" s="19" t="str">
        <f>IF(B185="","",RTD("octo.rtdserver","",B185,"60"))</f>
        <v/>
      </c>
      <c r="I185" s="13" t="str">
        <f t="shared" si="2"/>
        <v/>
      </c>
    </row>
    <row r="186" spans="6:9" x14ac:dyDescent="0.25">
      <c r="F186" s="19" t="str">
        <f>IF(B186="","",RTD("octo.rtdserver","",B186,"56"))</f>
        <v/>
      </c>
      <c r="G186" s="19" t="str">
        <f>IF(B186="","",RTD("octo.rtdserver","",B186,"60"))</f>
        <v/>
      </c>
      <c r="I186" s="13" t="str">
        <f t="shared" si="2"/>
        <v/>
      </c>
    </row>
    <row r="187" spans="6:9" x14ac:dyDescent="0.25">
      <c r="F187" s="19" t="str">
        <f>IF(B187="","",RTD("octo.rtdserver","",B187,"56"))</f>
        <v/>
      </c>
      <c r="G187" s="19" t="str">
        <f>IF(B187="","",RTD("octo.rtdserver","",B187,"60"))</f>
        <v/>
      </c>
      <c r="I187" s="13" t="str">
        <f t="shared" si="2"/>
        <v/>
      </c>
    </row>
    <row r="188" spans="6:9" x14ac:dyDescent="0.25">
      <c r="F188" s="19" t="str">
        <f>IF(B188="","",RTD("octo.rtdserver","",B188,"56"))</f>
        <v/>
      </c>
      <c r="G188" s="19" t="str">
        <f>IF(B188="","",RTD("octo.rtdserver","",B188,"60"))</f>
        <v/>
      </c>
      <c r="I188" s="13" t="str">
        <f t="shared" si="2"/>
        <v/>
      </c>
    </row>
    <row r="189" spans="6:9" x14ac:dyDescent="0.25">
      <c r="F189" s="19" t="str">
        <f>IF(B189="","",RTD("octo.rtdserver","",B189,"56"))</f>
        <v/>
      </c>
      <c r="G189" s="19" t="str">
        <f>IF(B189="","",RTD("octo.rtdserver","",B189,"60"))</f>
        <v/>
      </c>
      <c r="I189" s="13" t="str">
        <f t="shared" si="2"/>
        <v/>
      </c>
    </row>
    <row r="190" spans="6:9" x14ac:dyDescent="0.25">
      <c r="F190" s="19" t="str">
        <f>IF(B190="","",RTD("octo.rtdserver","",B190,"56"))</f>
        <v/>
      </c>
      <c r="G190" s="19" t="str">
        <f>IF(B190="","",RTD("octo.rtdserver","",B190,"60"))</f>
        <v/>
      </c>
      <c r="I190" s="13" t="str">
        <f t="shared" si="2"/>
        <v/>
      </c>
    </row>
    <row r="191" spans="6:9" x14ac:dyDescent="0.25">
      <c r="F191" s="19" t="str">
        <f>IF(B191="","",RTD("octo.rtdserver","",B191,"56"))</f>
        <v/>
      </c>
      <c r="G191" s="19" t="str">
        <f>IF(B191="","",RTD("octo.rtdserver","",B191,"60"))</f>
        <v/>
      </c>
      <c r="I191" s="13" t="str">
        <f t="shared" si="2"/>
        <v/>
      </c>
    </row>
    <row r="192" spans="6:9" x14ac:dyDescent="0.25">
      <c r="F192" s="19" t="str">
        <f>IF(B192="","",RTD("octo.rtdserver","",B192,"56"))</f>
        <v/>
      </c>
      <c r="G192" s="19" t="str">
        <f>IF(B192="","",RTD("octo.rtdserver","",B192,"60"))</f>
        <v/>
      </c>
      <c r="I192" s="13" t="str">
        <f t="shared" si="2"/>
        <v/>
      </c>
    </row>
    <row r="193" spans="6:9" x14ac:dyDescent="0.25">
      <c r="F193" s="19" t="str">
        <f>IF(B193="","",RTD("octo.rtdserver","",B193,"56"))</f>
        <v/>
      </c>
      <c r="G193" s="19" t="str">
        <f>IF(B193="","",RTD("octo.rtdserver","",B193,"60"))</f>
        <v/>
      </c>
      <c r="I193" s="13" t="str">
        <f t="shared" si="2"/>
        <v/>
      </c>
    </row>
    <row r="194" spans="6:9" x14ac:dyDescent="0.25">
      <c r="F194" s="19" t="str">
        <f>IF(B194="","",RTD("octo.rtdserver","",B194,"56"))</f>
        <v/>
      </c>
      <c r="G194" s="19" t="str">
        <f>IF(B194="","",RTD("octo.rtdserver","",B194,"60"))</f>
        <v/>
      </c>
      <c r="I194" s="13" t="str">
        <f t="shared" si="2"/>
        <v/>
      </c>
    </row>
    <row r="195" spans="6:9" x14ac:dyDescent="0.25">
      <c r="F195" s="19" t="str">
        <f>IF(B195="","",RTD("octo.rtdserver","",B195,"56"))</f>
        <v/>
      </c>
      <c r="G195" s="19" t="str">
        <f>IF(B195="","",RTD("octo.rtdserver","",B195,"60"))</f>
        <v/>
      </c>
      <c r="I195" s="13" t="str">
        <f t="shared" si="2"/>
        <v/>
      </c>
    </row>
    <row r="196" spans="6:9" x14ac:dyDescent="0.25">
      <c r="F196" s="19" t="str">
        <f>IF(B196="","",RTD("octo.rtdserver","",B196,"56"))</f>
        <v/>
      </c>
      <c r="G196" s="19" t="str">
        <f>IF(B196="","",RTD("octo.rtdserver","",B196,"60"))</f>
        <v/>
      </c>
      <c r="I196" s="13" t="str">
        <f t="shared" si="2"/>
        <v/>
      </c>
    </row>
    <row r="197" spans="6:9" x14ac:dyDescent="0.25">
      <c r="F197" s="19" t="str">
        <f>IF(B197="","",RTD("octo.rtdserver","",B197,"56"))</f>
        <v/>
      </c>
      <c r="G197" s="19" t="str">
        <f>IF(B197="","",RTD("octo.rtdserver","",B197,"60"))</f>
        <v/>
      </c>
      <c r="I197" s="13" t="str">
        <f t="shared" si="2"/>
        <v/>
      </c>
    </row>
    <row r="198" spans="6:9" x14ac:dyDescent="0.25">
      <c r="F198" s="19" t="str">
        <f>IF(B198="","",RTD("octo.rtdserver","",B198,"56"))</f>
        <v/>
      </c>
      <c r="G198" s="19" t="str">
        <f>IF(B198="","",RTD("octo.rtdserver","",B198,"60"))</f>
        <v/>
      </c>
      <c r="I198" s="13" t="str">
        <f t="shared" si="2"/>
        <v/>
      </c>
    </row>
    <row r="199" spans="6:9" x14ac:dyDescent="0.25">
      <c r="F199" s="19" t="str">
        <f>IF(B199="","",RTD("octo.rtdserver","",B199,"56"))</f>
        <v/>
      </c>
      <c r="G199" s="19" t="str">
        <f>IF(B199="","",RTD("octo.rtdserver","",B199,"60"))</f>
        <v/>
      </c>
      <c r="I199" s="13" t="str">
        <f t="shared" si="2"/>
        <v/>
      </c>
    </row>
    <row r="200" spans="6:9" x14ac:dyDescent="0.25">
      <c r="F200" s="19" t="str">
        <f>IF(B200="","",RTD("octo.rtdserver","",B200,"56"))</f>
        <v/>
      </c>
      <c r="G200" s="19" t="str">
        <f>IF(B200="","",RTD("octo.rtdserver","",B200,"60"))</f>
        <v/>
      </c>
      <c r="I200" s="13" t="str">
        <f t="shared" si="2"/>
        <v/>
      </c>
    </row>
    <row r="201" spans="6:9" x14ac:dyDescent="0.25">
      <c r="F201" s="19" t="str">
        <f>IF(B201="","",RTD("octo.rtdserver","",B201,"56"))</f>
        <v/>
      </c>
      <c r="G201" s="19" t="str">
        <f>IF(B201="","",RTD("octo.rtdserver","",B201,"60"))</f>
        <v/>
      </c>
      <c r="I201" s="13" t="str">
        <f t="shared" si="2"/>
        <v/>
      </c>
    </row>
    <row r="202" spans="6:9" x14ac:dyDescent="0.25">
      <c r="F202" s="19" t="str">
        <f>IF(B202="","",RTD("octo.rtdserver","",B202,"56"))</f>
        <v/>
      </c>
      <c r="G202" s="19" t="str">
        <f>IF(B202="","",RTD("octo.rtdserver","",B202,"60"))</f>
        <v/>
      </c>
      <c r="I202" s="13" t="str">
        <f t="shared" si="2"/>
        <v/>
      </c>
    </row>
    <row r="203" spans="6:9" x14ac:dyDescent="0.25">
      <c r="F203" s="19" t="str">
        <f>IF(B203="","",RTD("octo.rtdserver","",B203,"56"))</f>
        <v/>
      </c>
      <c r="G203" s="19" t="str">
        <f>IF(B203="","",RTD("octo.rtdserver","",B203,"60"))</f>
        <v/>
      </c>
      <c r="I203" s="13" t="str">
        <f t="shared" si="2"/>
        <v/>
      </c>
    </row>
    <row r="204" spans="6:9" x14ac:dyDescent="0.25">
      <c r="F204" s="19" t="str">
        <f>IF(B204="","",RTD("octo.rtdserver","",B204,"56"))</f>
        <v/>
      </c>
      <c r="G204" s="19" t="str">
        <f>IF(B204="","",RTD("octo.rtdserver","",B204,"60"))</f>
        <v/>
      </c>
      <c r="I204" s="13" t="str">
        <f t="shared" si="2"/>
        <v/>
      </c>
    </row>
    <row r="205" spans="6:9" x14ac:dyDescent="0.25">
      <c r="F205" s="19" t="str">
        <f>IF(B205="","",RTD("octo.rtdserver","",B205,"56"))</f>
        <v/>
      </c>
      <c r="G205" s="19" t="str">
        <f>IF(B205="","",RTD("octo.rtdserver","",B205,"60"))</f>
        <v/>
      </c>
      <c r="I205" s="13" t="str">
        <f t="shared" ref="I205:I268" si="3">IF(B205="","",(H205/(D205*E205)*100))</f>
        <v/>
      </c>
    </row>
    <row r="206" spans="6:9" x14ac:dyDescent="0.25">
      <c r="F206" s="19" t="str">
        <f>IF(B206="","",RTD("octo.rtdserver","",B206,"56"))</f>
        <v/>
      </c>
      <c r="G206" s="19" t="str">
        <f>IF(B206="","",RTD("octo.rtdserver","",B206,"60"))</f>
        <v/>
      </c>
      <c r="I206" s="13" t="str">
        <f t="shared" si="3"/>
        <v/>
      </c>
    </row>
    <row r="207" spans="6:9" x14ac:dyDescent="0.25">
      <c r="F207" s="19" t="str">
        <f>IF(B207="","",RTD("octo.rtdserver","",B207,"56"))</f>
        <v/>
      </c>
      <c r="G207" s="19" t="str">
        <f>IF(B207="","",RTD("octo.rtdserver","",B207,"60"))</f>
        <v/>
      </c>
      <c r="I207" s="13" t="str">
        <f t="shared" si="3"/>
        <v/>
      </c>
    </row>
    <row r="208" spans="6:9" x14ac:dyDescent="0.25">
      <c r="F208" s="19" t="str">
        <f>IF(B208="","",RTD("octo.rtdserver","",B208,"56"))</f>
        <v/>
      </c>
      <c r="G208" s="19" t="str">
        <f>IF(B208="","",RTD("octo.rtdserver","",B208,"60"))</f>
        <v/>
      </c>
      <c r="I208" s="13" t="str">
        <f t="shared" si="3"/>
        <v/>
      </c>
    </row>
    <row r="209" spans="6:9" x14ac:dyDescent="0.25">
      <c r="F209" s="19" t="str">
        <f>IF(B209="","",RTD("octo.rtdserver","",B209,"56"))</f>
        <v/>
      </c>
      <c r="G209" s="19" t="str">
        <f>IF(B209="","",RTD("octo.rtdserver","",B209,"60"))</f>
        <v/>
      </c>
      <c r="I209" s="13" t="str">
        <f t="shared" si="3"/>
        <v/>
      </c>
    </row>
    <row r="210" spans="6:9" x14ac:dyDescent="0.25">
      <c r="F210" s="19" t="str">
        <f>IF(B210="","",RTD("octo.rtdserver","",B210,"56"))</f>
        <v/>
      </c>
      <c r="G210" s="19" t="str">
        <f>IF(B210="","",RTD("octo.rtdserver","",B210,"60"))</f>
        <v/>
      </c>
      <c r="I210" s="13" t="str">
        <f t="shared" si="3"/>
        <v/>
      </c>
    </row>
    <row r="211" spans="6:9" x14ac:dyDescent="0.25">
      <c r="F211" s="19" t="str">
        <f>IF(B211="","",RTD("octo.rtdserver","",B211,"56"))</f>
        <v/>
      </c>
      <c r="G211" s="19" t="str">
        <f>IF(B211="","",RTD("octo.rtdserver","",B211,"60"))</f>
        <v/>
      </c>
      <c r="I211" s="13" t="str">
        <f t="shared" si="3"/>
        <v/>
      </c>
    </row>
    <row r="212" spans="6:9" x14ac:dyDescent="0.25">
      <c r="F212" s="19" t="str">
        <f>IF(B212="","",RTD("octo.rtdserver","",B212,"56"))</f>
        <v/>
      </c>
      <c r="G212" s="19" t="str">
        <f>IF(B212="","",RTD("octo.rtdserver","",B212,"60"))</f>
        <v/>
      </c>
      <c r="I212" s="13" t="str">
        <f t="shared" si="3"/>
        <v/>
      </c>
    </row>
    <row r="213" spans="6:9" x14ac:dyDescent="0.25">
      <c r="F213" s="19" t="str">
        <f>IF(B213="","",RTD("octo.rtdserver","",B213,"56"))</f>
        <v/>
      </c>
      <c r="G213" s="19" t="str">
        <f>IF(B213="","",RTD("octo.rtdserver","",B213,"60"))</f>
        <v/>
      </c>
      <c r="I213" s="13" t="str">
        <f t="shared" si="3"/>
        <v/>
      </c>
    </row>
    <row r="214" spans="6:9" x14ac:dyDescent="0.25">
      <c r="F214" s="19" t="str">
        <f>IF(B214="","",RTD("octo.rtdserver","",B214,"56"))</f>
        <v/>
      </c>
      <c r="G214" s="19" t="str">
        <f>IF(B214="","",RTD("octo.rtdserver","",B214,"60"))</f>
        <v/>
      </c>
      <c r="I214" s="13" t="str">
        <f t="shared" si="3"/>
        <v/>
      </c>
    </row>
    <row r="215" spans="6:9" x14ac:dyDescent="0.25">
      <c r="F215" s="19" t="str">
        <f>IF(B215="","",RTD("octo.rtdserver","",B215,"56"))</f>
        <v/>
      </c>
      <c r="G215" s="19" t="str">
        <f>IF(B215="","",RTD("octo.rtdserver","",B215,"60"))</f>
        <v/>
      </c>
      <c r="I215" s="13" t="str">
        <f t="shared" si="3"/>
        <v/>
      </c>
    </row>
    <row r="216" spans="6:9" x14ac:dyDescent="0.25">
      <c r="F216" s="19" t="str">
        <f>IF(B216="","",RTD("octo.rtdserver","",B216,"56"))</f>
        <v/>
      </c>
      <c r="G216" s="19" t="str">
        <f>IF(B216="","",RTD("octo.rtdserver","",B216,"60"))</f>
        <v/>
      </c>
      <c r="I216" s="13" t="str">
        <f t="shared" si="3"/>
        <v/>
      </c>
    </row>
    <row r="217" spans="6:9" x14ac:dyDescent="0.25">
      <c r="F217" s="19" t="str">
        <f>IF(B217="","",RTD("octo.rtdserver","",B217,"56"))</f>
        <v/>
      </c>
      <c r="G217" s="19" t="str">
        <f>IF(B217="","",RTD("octo.rtdserver","",B217,"60"))</f>
        <v/>
      </c>
      <c r="I217" s="13" t="str">
        <f t="shared" si="3"/>
        <v/>
      </c>
    </row>
    <row r="218" spans="6:9" x14ac:dyDescent="0.25">
      <c r="F218" s="19" t="str">
        <f>IF(B218="","",RTD("octo.rtdserver","",B218,"56"))</f>
        <v/>
      </c>
      <c r="G218" s="19" t="str">
        <f>IF(B218="","",RTD("octo.rtdserver","",B218,"60"))</f>
        <v/>
      </c>
      <c r="I218" s="13" t="str">
        <f t="shared" si="3"/>
        <v/>
      </c>
    </row>
    <row r="219" spans="6:9" x14ac:dyDescent="0.25">
      <c r="F219" s="19" t="str">
        <f>IF(B219="","",RTD("octo.rtdserver","",B219,"56"))</f>
        <v/>
      </c>
      <c r="G219" s="19" t="str">
        <f>IF(B219="","",RTD("octo.rtdserver","",B219,"60"))</f>
        <v/>
      </c>
      <c r="I219" s="13" t="str">
        <f t="shared" si="3"/>
        <v/>
      </c>
    </row>
    <row r="220" spans="6:9" x14ac:dyDescent="0.25">
      <c r="F220" s="19" t="str">
        <f>IF(B220="","",RTD("octo.rtdserver","",B220,"56"))</f>
        <v/>
      </c>
      <c r="G220" s="19" t="str">
        <f>IF(B220="","",RTD("octo.rtdserver","",B220,"60"))</f>
        <v/>
      </c>
      <c r="I220" s="13" t="str">
        <f t="shared" si="3"/>
        <v/>
      </c>
    </row>
    <row r="221" spans="6:9" x14ac:dyDescent="0.25">
      <c r="F221" s="19" t="str">
        <f>IF(B221="","",RTD("octo.rtdserver","",B221,"56"))</f>
        <v/>
      </c>
      <c r="G221" s="19" t="str">
        <f>IF(B221="","",RTD("octo.rtdserver","",B221,"60"))</f>
        <v/>
      </c>
      <c r="I221" s="13" t="str">
        <f t="shared" si="3"/>
        <v/>
      </c>
    </row>
    <row r="222" spans="6:9" x14ac:dyDescent="0.25">
      <c r="F222" s="19" t="str">
        <f>IF(B222="","",RTD("octo.rtdserver","",B222,"56"))</f>
        <v/>
      </c>
      <c r="G222" s="19" t="str">
        <f>IF(B222="","",RTD("octo.rtdserver","",B222,"60"))</f>
        <v/>
      </c>
      <c r="I222" s="13" t="str">
        <f t="shared" si="3"/>
        <v/>
      </c>
    </row>
    <row r="223" spans="6:9" x14ac:dyDescent="0.25">
      <c r="F223" s="19" t="str">
        <f>IF(B223="","",RTD("octo.rtdserver","",B223,"56"))</f>
        <v/>
      </c>
      <c r="G223" s="19" t="str">
        <f>IF(B223="","",RTD("octo.rtdserver","",B223,"60"))</f>
        <v/>
      </c>
      <c r="I223" s="13" t="str">
        <f t="shared" si="3"/>
        <v/>
      </c>
    </row>
    <row r="224" spans="6:9" x14ac:dyDescent="0.25">
      <c r="F224" s="19" t="str">
        <f>IF(B224="","",RTD("octo.rtdserver","",B224,"56"))</f>
        <v/>
      </c>
      <c r="G224" s="19" t="str">
        <f>IF(B224="","",RTD("octo.rtdserver","",B224,"60"))</f>
        <v/>
      </c>
      <c r="I224" s="13" t="str">
        <f t="shared" si="3"/>
        <v/>
      </c>
    </row>
    <row r="225" spans="6:9" x14ac:dyDescent="0.25">
      <c r="F225" s="19" t="str">
        <f>IF(B225="","",RTD("octo.rtdserver","",B225,"56"))</f>
        <v/>
      </c>
      <c r="G225" s="19" t="str">
        <f>IF(B225="","",RTD("octo.rtdserver","",B225,"60"))</f>
        <v/>
      </c>
      <c r="I225" s="13" t="str">
        <f t="shared" si="3"/>
        <v/>
      </c>
    </row>
    <row r="226" spans="6:9" x14ac:dyDescent="0.25">
      <c r="F226" s="19" t="str">
        <f>IF(B226="","",RTD("octo.rtdserver","",B226,"56"))</f>
        <v/>
      </c>
      <c r="G226" s="19" t="str">
        <f>IF(B226="","",RTD("octo.rtdserver","",B226,"60"))</f>
        <v/>
      </c>
      <c r="I226" s="13" t="str">
        <f t="shared" si="3"/>
        <v/>
      </c>
    </row>
    <row r="227" spans="6:9" x14ac:dyDescent="0.25">
      <c r="F227" s="19" t="str">
        <f>IF(B227="","",RTD("octo.rtdserver","",B227,"56"))</f>
        <v/>
      </c>
      <c r="G227" s="19" t="str">
        <f>IF(B227="","",RTD("octo.rtdserver","",B227,"60"))</f>
        <v/>
      </c>
      <c r="I227" s="13" t="str">
        <f t="shared" si="3"/>
        <v/>
      </c>
    </row>
    <row r="228" spans="6:9" x14ac:dyDescent="0.25">
      <c r="F228" s="19" t="str">
        <f>IF(B228="","",RTD("octo.rtdserver","",B228,"56"))</f>
        <v/>
      </c>
      <c r="G228" s="19" t="str">
        <f>IF(B228="","",RTD("octo.rtdserver","",B228,"60"))</f>
        <v/>
      </c>
      <c r="I228" s="13" t="str">
        <f t="shared" si="3"/>
        <v/>
      </c>
    </row>
    <row r="229" spans="6:9" x14ac:dyDescent="0.25">
      <c r="F229" s="19" t="str">
        <f>IF(B229="","",RTD("octo.rtdserver","",B229,"56"))</f>
        <v/>
      </c>
      <c r="G229" s="19" t="str">
        <f>IF(B229="","",RTD("octo.rtdserver","",B229,"60"))</f>
        <v/>
      </c>
      <c r="I229" s="13" t="str">
        <f t="shared" si="3"/>
        <v/>
      </c>
    </row>
    <row r="230" spans="6:9" x14ac:dyDescent="0.25">
      <c r="F230" s="19" t="str">
        <f>IF(B230="","",RTD("octo.rtdserver","",B230,"56"))</f>
        <v/>
      </c>
      <c r="G230" s="19" t="str">
        <f>IF(B230="","",RTD("octo.rtdserver","",B230,"60"))</f>
        <v/>
      </c>
      <c r="I230" s="13" t="str">
        <f t="shared" si="3"/>
        <v/>
      </c>
    </row>
    <row r="231" spans="6:9" x14ac:dyDescent="0.25">
      <c r="F231" s="19" t="str">
        <f>IF(B231="","",RTD("octo.rtdserver","",B231,"56"))</f>
        <v/>
      </c>
      <c r="G231" s="19" t="str">
        <f>IF(B231="","",RTD("octo.rtdserver","",B231,"60"))</f>
        <v/>
      </c>
      <c r="I231" s="13" t="str">
        <f t="shared" si="3"/>
        <v/>
      </c>
    </row>
    <row r="232" spans="6:9" x14ac:dyDescent="0.25">
      <c r="F232" s="19" t="str">
        <f>IF(B232="","",RTD("octo.rtdserver","",B232,"56"))</f>
        <v/>
      </c>
      <c r="G232" s="19" t="str">
        <f>IF(B232="","",RTD("octo.rtdserver","",B232,"60"))</f>
        <v/>
      </c>
      <c r="I232" s="13" t="str">
        <f t="shared" si="3"/>
        <v/>
      </c>
    </row>
    <row r="233" spans="6:9" x14ac:dyDescent="0.25">
      <c r="F233" s="19" t="str">
        <f>IF(B233="","",RTD("octo.rtdserver","",B233,"56"))</f>
        <v/>
      </c>
      <c r="G233" s="19" t="str">
        <f>IF(B233="","",RTD("octo.rtdserver","",B233,"60"))</f>
        <v/>
      </c>
      <c r="I233" s="13" t="str">
        <f t="shared" si="3"/>
        <v/>
      </c>
    </row>
    <row r="234" spans="6:9" x14ac:dyDescent="0.25">
      <c r="F234" s="19" t="str">
        <f>IF(B234="","",RTD("octo.rtdserver","",B234,"56"))</f>
        <v/>
      </c>
      <c r="G234" s="19" t="str">
        <f>IF(B234="","",RTD("octo.rtdserver","",B234,"60"))</f>
        <v/>
      </c>
      <c r="I234" s="13" t="str">
        <f t="shared" si="3"/>
        <v/>
      </c>
    </row>
    <row r="235" spans="6:9" x14ac:dyDescent="0.25">
      <c r="F235" s="19" t="str">
        <f>IF(B235="","",RTD("octo.rtdserver","",B235,"56"))</f>
        <v/>
      </c>
      <c r="G235" s="19" t="str">
        <f>IF(B235="","",RTD("octo.rtdserver","",B235,"60"))</f>
        <v/>
      </c>
      <c r="I235" s="13" t="str">
        <f t="shared" si="3"/>
        <v/>
      </c>
    </row>
    <row r="236" spans="6:9" x14ac:dyDescent="0.25">
      <c r="F236" s="19" t="str">
        <f>IF(B236="","",RTD("octo.rtdserver","",B236,"56"))</f>
        <v/>
      </c>
      <c r="G236" s="19" t="str">
        <f>IF(B236="","",RTD("octo.rtdserver","",B236,"60"))</f>
        <v/>
      </c>
      <c r="I236" s="13" t="str">
        <f t="shared" si="3"/>
        <v/>
      </c>
    </row>
    <row r="237" spans="6:9" x14ac:dyDescent="0.25">
      <c r="F237" s="19" t="str">
        <f>IF(B237="","",RTD("octo.rtdserver","",B237,"56"))</f>
        <v/>
      </c>
      <c r="G237" s="19" t="str">
        <f>IF(B237="","",RTD("octo.rtdserver","",B237,"60"))</f>
        <v/>
      </c>
      <c r="I237" s="13" t="str">
        <f t="shared" si="3"/>
        <v/>
      </c>
    </row>
    <row r="238" spans="6:9" x14ac:dyDescent="0.25">
      <c r="F238" s="19" t="str">
        <f>IF(B238="","",RTD("octo.rtdserver","",B238,"56"))</f>
        <v/>
      </c>
      <c r="G238" s="19" t="str">
        <f>IF(B238="","",RTD("octo.rtdserver","",B238,"60"))</f>
        <v/>
      </c>
      <c r="I238" s="13" t="str">
        <f t="shared" si="3"/>
        <v/>
      </c>
    </row>
    <row r="239" spans="6:9" x14ac:dyDescent="0.25">
      <c r="F239" s="19" t="str">
        <f>IF(B239="","",RTD("octo.rtdserver","",B239,"56"))</f>
        <v/>
      </c>
      <c r="G239" s="19" t="str">
        <f>IF(B239="","",RTD("octo.rtdserver","",B239,"60"))</f>
        <v/>
      </c>
      <c r="I239" s="13" t="str">
        <f t="shared" si="3"/>
        <v/>
      </c>
    </row>
    <row r="240" spans="6:9" x14ac:dyDescent="0.25">
      <c r="F240" s="19" t="str">
        <f>IF(B240="","",RTD("octo.rtdserver","",B240,"56"))</f>
        <v/>
      </c>
      <c r="G240" s="19" t="str">
        <f>IF(B240="","",RTD("octo.rtdserver","",B240,"60"))</f>
        <v/>
      </c>
      <c r="I240" s="13" t="str">
        <f t="shared" si="3"/>
        <v/>
      </c>
    </row>
    <row r="241" spans="6:9" x14ac:dyDescent="0.25">
      <c r="F241" s="19" t="str">
        <f>IF(B241="","",RTD("octo.rtdserver","",B241,"56"))</f>
        <v/>
      </c>
      <c r="G241" s="19" t="str">
        <f>IF(B241="","",RTD("octo.rtdserver","",B241,"60"))</f>
        <v/>
      </c>
      <c r="I241" s="13" t="str">
        <f t="shared" si="3"/>
        <v/>
      </c>
    </row>
    <row r="242" spans="6:9" x14ac:dyDescent="0.25">
      <c r="F242" s="19" t="str">
        <f>IF(B242="","",RTD("octo.rtdserver","",B242,"56"))</f>
        <v/>
      </c>
      <c r="G242" s="19" t="str">
        <f>IF(B242="","",RTD("octo.rtdserver","",B242,"60"))</f>
        <v/>
      </c>
      <c r="I242" s="13" t="str">
        <f t="shared" si="3"/>
        <v/>
      </c>
    </row>
    <row r="243" spans="6:9" x14ac:dyDescent="0.25">
      <c r="F243" s="19" t="str">
        <f>IF(B243="","",RTD("octo.rtdserver","",B243,"56"))</f>
        <v/>
      </c>
      <c r="G243" s="19" t="str">
        <f>IF(B243="","",RTD("octo.rtdserver","",B243,"60"))</f>
        <v/>
      </c>
      <c r="I243" s="13" t="str">
        <f t="shared" si="3"/>
        <v/>
      </c>
    </row>
    <row r="244" spans="6:9" x14ac:dyDescent="0.25">
      <c r="F244" s="19" t="str">
        <f>IF(B244="","",RTD("octo.rtdserver","",B244,"56"))</f>
        <v/>
      </c>
      <c r="G244" s="19" t="str">
        <f>IF(B244="","",RTD("octo.rtdserver","",B244,"60"))</f>
        <v/>
      </c>
      <c r="I244" s="13" t="str">
        <f t="shared" si="3"/>
        <v/>
      </c>
    </row>
    <row r="245" spans="6:9" x14ac:dyDescent="0.25">
      <c r="F245" s="19" t="str">
        <f>IF(B245="","",RTD("octo.rtdserver","",B245,"56"))</f>
        <v/>
      </c>
      <c r="G245" s="19" t="str">
        <f>IF(B245="","",RTD("octo.rtdserver","",B245,"60"))</f>
        <v/>
      </c>
      <c r="I245" s="13" t="str">
        <f t="shared" si="3"/>
        <v/>
      </c>
    </row>
    <row r="246" spans="6:9" x14ac:dyDescent="0.25">
      <c r="F246" s="19" t="str">
        <f>IF(B246="","",RTD("octo.rtdserver","",B246,"56"))</f>
        <v/>
      </c>
      <c r="G246" s="19" t="str">
        <f>IF(B246="","",RTD("octo.rtdserver","",B246,"60"))</f>
        <v/>
      </c>
      <c r="I246" s="13" t="str">
        <f t="shared" si="3"/>
        <v/>
      </c>
    </row>
    <row r="247" spans="6:9" x14ac:dyDescent="0.25">
      <c r="F247" s="19" t="str">
        <f>IF(B247="","",RTD("octo.rtdserver","",B247,"56"))</f>
        <v/>
      </c>
      <c r="G247" s="19" t="str">
        <f>IF(B247="","",RTD("octo.rtdserver","",B247,"60"))</f>
        <v/>
      </c>
      <c r="I247" s="13" t="str">
        <f t="shared" si="3"/>
        <v/>
      </c>
    </row>
    <row r="248" spans="6:9" x14ac:dyDescent="0.25">
      <c r="F248" s="19" t="str">
        <f>IF(B248="","",RTD("octo.rtdserver","",B248,"56"))</f>
        <v/>
      </c>
      <c r="G248" s="19" t="str">
        <f>IF(B248="","",RTD("octo.rtdserver","",B248,"60"))</f>
        <v/>
      </c>
      <c r="I248" s="13" t="str">
        <f t="shared" si="3"/>
        <v/>
      </c>
    </row>
    <row r="249" spans="6:9" x14ac:dyDescent="0.25">
      <c r="F249" s="19" t="str">
        <f>IF(B249="","",RTD("octo.rtdserver","",B249,"56"))</f>
        <v/>
      </c>
      <c r="G249" s="19" t="str">
        <f>IF(B249="","",RTD("octo.rtdserver","",B249,"60"))</f>
        <v/>
      </c>
      <c r="I249" s="13" t="str">
        <f t="shared" si="3"/>
        <v/>
      </c>
    </row>
    <row r="250" spans="6:9" x14ac:dyDescent="0.25">
      <c r="F250" s="19" t="str">
        <f>IF(B250="","",RTD("octo.rtdserver","",B250,"56"))</f>
        <v/>
      </c>
      <c r="G250" s="19" t="str">
        <f>IF(B250="","",RTD("octo.rtdserver","",B250,"60"))</f>
        <v/>
      </c>
      <c r="I250" s="13" t="str">
        <f t="shared" si="3"/>
        <v/>
      </c>
    </row>
    <row r="251" spans="6:9" x14ac:dyDescent="0.25">
      <c r="F251" s="19" t="str">
        <f>IF(B251="","",RTD("octo.rtdserver","",B251,"56"))</f>
        <v/>
      </c>
      <c r="G251" s="19" t="str">
        <f>IF(B251="","",RTD("octo.rtdserver","",B251,"60"))</f>
        <v/>
      </c>
      <c r="I251" s="13" t="str">
        <f t="shared" si="3"/>
        <v/>
      </c>
    </row>
    <row r="252" spans="6:9" x14ac:dyDescent="0.25">
      <c r="F252" s="19" t="str">
        <f>IF(B252="","",RTD("octo.rtdserver","",B252,"56"))</f>
        <v/>
      </c>
      <c r="G252" s="19" t="str">
        <f>IF(B252="","",RTD("octo.rtdserver","",B252,"60"))</f>
        <v/>
      </c>
      <c r="I252" s="13" t="str">
        <f t="shared" si="3"/>
        <v/>
      </c>
    </row>
    <row r="253" spans="6:9" x14ac:dyDescent="0.25">
      <c r="F253" s="19" t="str">
        <f>IF(B253="","",RTD("octo.rtdserver","",B253,"56"))</f>
        <v/>
      </c>
      <c r="G253" s="19" t="str">
        <f>IF(B253="","",RTD("octo.rtdserver","",B253,"60"))</f>
        <v/>
      </c>
      <c r="I253" s="13" t="str">
        <f t="shared" si="3"/>
        <v/>
      </c>
    </row>
    <row r="254" spans="6:9" x14ac:dyDescent="0.25">
      <c r="F254" s="19" t="str">
        <f>IF(B254="","",RTD("octo.rtdserver","",B254,"56"))</f>
        <v/>
      </c>
      <c r="G254" s="19" t="str">
        <f>IF(B254="","",RTD("octo.rtdserver","",B254,"60"))</f>
        <v/>
      </c>
      <c r="I254" s="13" t="str">
        <f t="shared" si="3"/>
        <v/>
      </c>
    </row>
    <row r="255" spans="6:9" x14ac:dyDescent="0.25">
      <c r="F255" s="19" t="str">
        <f>IF(B255="","",RTD("octo.rtdserver","",B255,"56"))</f>
        <v/>
      </c>
      <c r="G255" s="19" t="str">
        <f>IF(B255="","",RTD("octo.rtdserver","",B255,"60"))</f>
        <v/>
      </c>
      <c r="I255" s="13" t="str">
        <f t="shared" si="3"/>
        <v/>
      </c>
    </row>
    <row r="256" spans="6:9" x14ac:dyDescent="0.25">
      <c r="F256" s="19" t="str">
        <f>IF(B256="","",RTD("octo.rtdserver","",B256,"56"))</f>
        <v/>
      </c>
      <c r="G256" s="19" t="str">
        <f>IF(B256="","",RTD("octo.rtdserver","",B256,"60"))</f>
        <v/>
      </c>
      <c r="I256" s="13" t="str">
        <f t="shared" si="3"/>
        <v/>
      </c>
    </row>
    <row r="257" spans="6:9" x14ac:dyDescent="0.25">
      <c r="F257" s="19" t="str">
        <f>IF(B257="","",RTD("octo.rtdserver","",B257,"56"))</f>
        <v/>
      </c>
      <c r="G257" s="19" t="str">
        <f>IF(B257="","",RTD("octo.rtdserver","",B257,"60"))</f>
        <v/>
      </c>
      <c r="I257" s="13" t="str">
        <f t="shared" si="3"/>
        <v/>
      </c>
    </row>
    <row r="258" spans="6:9" x14ac:dyDescent="0.25">
      <c r="F258" s="19" t="str">
        <f>IF(B258="","",RTD("octo.rtdserver","",B258,"56"))</f>
        <v/>
      </c>
      <c r="G258" s="19" t="str">
        <f>IF(B258="","",RTD("octo.rtdserver","",B258,"60"))</f>
        <v/>
      </c>
      <c r="I258" s="13" t="str">
        <f t="shared" si="3"/>
        <v/>
      </c>
    </row>
    <row r="259" spans="6:9" x14ac:dyDescent="0.25">
      <c r="F259" s="19" t="str">
        <f>IF(B259="","",RTD("octo.rtdserver","",B259,"56"))</f>
        <v/>
      </c>
      <c r="G259" s="19" t="str">
        <f>IF(B259="","",RTD("octo.rtdserver","",B259,"60"))</f>
        <v/>
      </c>
      <c r="I259" s="13" t="str">
        <f t="shared" si="3"/>
        <v/>
      </c>
    </row>
    <row r="260" spans="6:9" x14ac:dyDescent="0.25">
      <c r="F260" s="19" t="str">
        <f>IF(B260="","",RTD("octo.rtdserver","",B260,"56"))</f>
        <v/>
      </c>
      <c r="G260" s="19" t="str">
        <f>IF(B260="","",RTD("octo.rtdserver","",B260,"60"))</f>
        <v/>
      </c>
      <c r="I260" s="13" t="str">
        <f t="shared" si="3"/>
        <v/>
      </c>
    </row>
    <row r="261" spans="6:9" x14ac:dyDescent="0.25">
      <c r="F261" s="19" t="str">
        <f>IF(B261="","",RTD("octo.rtdserver","",B261,"56"))</f>
        <v/>
      </c>
      <c r="G261" s="19" t="str">
        <f>IF(B261="","",RTD("octo.rtdserver","",B261,"60"))</f>
        <v/>
      </c>
      <c r="I261" s="13" t="str">
        <f t="shared" si="3"/>
        <v/>
      </c>
    </row>
    <row r="262" spans="6:9" x14ac:dyDescent="0.25">
      <c r="F262" s="19" t="str">
        <f>IF(B262="","",RTD("octo.rtdserver","",B262,"56"))</f>
        <v/>
      </c>
      <c r="G262" s="19" t="str">
        <f>IF(B262="","",RTD("octo.rtdserver","",B262,"60"))</f>
        <v/>
      </c>
      <c r="I262" s="13" t="str">
        <f t="shared" si="3"/>
        <v/>
      </c>
    </row>
    <row r="263" spans="6:9" x14ac:dyDescent="0.25">
      <c r="F263" s="19" t="str">
        <f>IF(B263="","",RTD("octo.rtdserver","",B263,"56"))</f>
        <v/>
      </c>
      <c r="G263" s="19" t="str">
        <f>IF(B263="","",RTD("octo.rtdserver","",B263,"60"))</f>
        <v/>
      </c>
      <c r="I263" s="13" t="str">
        <f t="shared" si="3"/>
        <v/>
      </c>
    </row>
    <row r="264" spans="6:9" x14ac:dyDescent="0.25">
      <c r="F264" s="19" t="str">
        <f>IF(B264="","",RTD("octo.rtdserver","",B264,"56"))</f>
        <v/>
      </c>
      <c r="G264" s="19" t="str">
        <f>IF(B264="","",RTD("octo.rtdserver","",B264,"60"))</f>
        <v/>
      </c>
      <c r="I264" s="13" t="str">
        <f t="shared" si="3"/>
        <v/>
      </c>
    </row>
    <row r="265" spans="6:9" x14ac:dyDescent="0.25">
      <c r="F265" s="19" t="str">
        <f>IF(B265="","",RTD("octo.rtdserver","",B265,"56"))</f>
        <v/>
      </c>
      <c r="G265" s="19" t="str">
        <f>IF(B265="","",RTD("octo.rtdserver","",B265,"60"))</f>
        <v/>
      </c>
      <c r="I265" s="13" t="str">
        <f t="shared" si="3"/>
        <v/>
      </c>
    </row>
    <row r="266" spans="6:9" x14ac:dyDescent="0.25">
      <c r="F266" s="19" t="str">
        <f>IF(B266="","",RTD("octo.rtdserver","",B266,"56"))</f>
        <v/>
      </c>
      <c r="G266" s="19" t="str">
        <f>IF(B266="","",RTD("octo.rtdserver","",B266,"60"))</f>
        <v/>
      </c>
      <c r="I266" s="13" t="str">
        <f t="shared" si="3"/>
        <v/>
      </c>
    </row>
    <row r="267" spans="6:9" x14ac:dyDescent="0.25">
      <c r="F267" s="19" t="str">
        <f>IF(B267="","",RTD("octo.rtdserver","",B267,"56"))</f>
        <v/>
      </c>
      <c r="G267" s="19" t="str">
        <f>IF(B267="","",RTD("octo.rtdserver","",B267,"60"))</f>
        <v/>
      </c>
      <c r="I267" s="13" t="str">
        <f t="shared" si="3"/>
        <v/>
      </c>
    </row>
    <row r="268" spans="6:9" x14ac:dyDescent="0.25">
      <c r="F268" s="19" t="str">
        <f>IF(B268="","",RTD("octo.rtdserver","",B268,"56"))</f>
        <v/>
      </c>
      <c r="G268" s="19" t="str">
        <f>IF(B268="","",RTD("octo.rtdserver","",B268,"60"))</f>
        <v/>
      </c>
      <c r="I268" s="13" t="str">
        <f t="shared" si="3"/>
        <v/>
      </c>
    </row>
    <row r="269" spans="6:9" x14ac:dyDescent="0.25">
      <c r="F269" s="19" t="str">
        <f>IF(B269="","",RTD("octo.rtdserver","",B269,"56"))</f>
        <v/>
      </c>
      <c r="G269" s="19" t="str">
        <f>IF(B269="","",RTD("octo.rtdserver","",B269,"60"))</f>
        <v/>
      </c>
      <c r="I269" s="13" t="str">
        <f t="shared" ref="I269:I329" si="4">IF(B269="","",(H269/(D269*E269)*100))</f>
        <v/>
      </c>
    </row>
    <row r="270" spans="6:9" x14ac:dyDescent="0.25">
      <c r="F270" s="19" t="str">
        <f>IF(B270="","",RTD("octo.rtdserver","",B270,"56"))</f>
        <v/>
      </c>
      <c r="G270" s="19" t="str">
        <f>IF(B270="","",RTD("octo.rtdserver","",B270,"60"))</f>
        <v/>
      </c>
      <c r="I270" s="13" t="str">
        <f t="shared" si="4"/>
        <v/>
      </c>
    </row>
    <row r="271" spans="6:9" x14ac:dyDescent="0.25">
      <c r="F271" s="19" t="str">
        <f>IF(B271="","",RTD("octo.rtdserver","",B271,"56"))</f>
        <v/>
      </c>
      <c r="G271" s="19" t="str">
        <f>IF(B271="","",RTD("octo.rtdserver","",B271,"60"))</f>
        <v/>
      </c>
      <c r="I271" s="13" t="str">
        <f t="shared" si="4"/>
        <v/>
      </c>
    </row>
    <row r="272" spans="6:9" x14ac:dyDescent="0.25">
      <c r="F272" s="19" t="str">
        <f>IF(B272="","",RTD("octo.rtdserver","",B272,"56"))</f>
        <v/>
      </c>
      <c r="G272" s="19" t="str">
        <f>IF(B272="","",RTD("octo.rtdserver","",B272,"60"))</f>
        <v/>
      </c>
      <c r="I272" s="13" t="str">
        <f t="shared" si="4"/>
        <v/>
      </c>
    </row>
    <row r="273" spans="6:9" x14ac:dyDescent="0.25">
      <c r="F273" s="19" t="str">
        <f>IF(B273="","",RTD("octo.rtdserver","",B273,"56"))</f>
        <v/>
      </c>
      <c r="G273" s="19" t="str">
        <f>IF(B273="","",RTD("octo.rtdserver","",B273,"60"))</f>
        <v/>
      </c>
      <c r="I273" s="13" t="str">
        <f t="shared" si="4"/>
        <v/>
      </c>
    </row>
    <row r="274" spans="6:9" x14ac:dyDescent="0.25">
      <c r="F274" s="19" t="str">
        <f>IF(B274="","",RTD("octo.rtdserver","",B274,"56"))</f>
        <v/>
      </c>
      <c r="G274" s="19" t="str">
        <f>IF(B274="","",RTD("octo.rtdserver","",B274,"60"))</f>
        <v/>
      </c>
      <c r="I274" s="13" t="str">
        <f t="shared" si="4"/>
        <v/>
      </c>
    </row>
    <row r="275" spans="6:9" x14ac:dyDescent="0.25">
      <c r="F275" s="19" t="str">
        <f>IF(B275="","",RTD("octo.rtdserver","",B275,"56"))</f>
        <v/>
      </c>
      <c r="G275" s="19" t="str">
        <f>IF(B275="","",RTD("octo.rtdserver","",B275,"60"))</f>
        <v/>
      </c>
      <c r="I275" s="13" t="str">
        <f t="shared" si="4"/>
        <v/>
      </c>
    </row>
    <row r="276" spans="6:9" x14ac:dyDescent="0.25">
      <c r="F276" s="19" t="str">
        <f>IF(B276="","",RTD("octo.rtdserver","",B276,"56"))</f>
        <v/>
      </c>
      <c r="G276" s="19" t="str">
        <f>IF(B276="","",RTD("octo.rtdserver","",B276,"60"))</f>
        <v/>
      </c>
      <c r="I276" s="13" t="str">
        <f t="shared" si="4"/>
        <v/>
      </c>
    </row>
    <row r="277" spans="6:9" x14ac:dyDescent="0.25">
      <c r="F277" s="19" t="str">
        <f>IF(B277="","",RTD("octo.rtdserver","",B277,"56"))</f>
        <v/>
      </c>
      <c r="G277" s="19" t="str">
        <f>IF(B277="","",RTD("octo.rtdserver","",B277,"60"))</f>
        <v/>
      </c>
      <c r="I277" s="13" t="str">
        <f t="shared" si="4"/>
        <v/>
      </c>
    </row>
    <row r="278" spans="6:9" x14ac:dyDescent="0.25">
      <c r="F278" s="19" t="str">
        <f>IF(B278="","",RTD("octo.rtdserver","",B278,"56"))</f>
        <v/>
      </c>
      <c r="G278" s="19" t="str">
        <f>IF(B278="","",RTD("octo.rtdserver","",B278,"60"))</f>
        <v/>
      </c>
      <c r="I278" s="13" t="str">
        <f t="shared" si="4"/>
        <v/>
      </c>
    </row>
    <row r="279" spans="6:9" x14ac:dyDescent="0.25">
      <c r="F279" s="19" t="str">
        <f>IF(B279="","",RTD("octo.rtdserver","",B279,"56"))</f>
        <v/>
      </c>
      <c r="G279" s="19" t="str">
        <f>IF(B279="","",RTD("octo.rtdserver","",B279,"60"))</f>
        <v/>
      </c>
      <c r="I279" s="13" t="str">
        <f t="shared" si="4"/>
        <v/>
      </c>
    </row>
    <row r="280" spans="6:9" x14ac:dyDescent="0.25">
      <c r="F280" s="19" t="str">
        <f>IF(B280="","",RTD("octo.rtdserver","",B280,"56"))</f>
        <v/>
      </c>
      <c r="G280" s="19" t="str">
        <f>IF(B280="","",RTD("octo.rtdserver","",B280,"60"))</f>
        <v/>
      </c>
      <c r="I280" s="13" t="str">
        <f t="shared" si="4"/>
        <v/>
      </c>
    </row>
    <row r="281" spans="6:9" x14ac:dyDescent="0.25">
      <c r="F281" s="19" t="str">
        <f>IF(B281="","",RTD("octo.rtdserver","",B281,"56"))</f>
        <v/>
      </c>
      <c r="G281" s="19" t="str">
        <f>IF(B281="","",RTD("octo.rtdserver","",B281,"60"))</f>
        <v/>
      </c>
      <c r="I281" s="13" t="str">
        <f t="shared" si="4"/>
        <v/>
      </c>
    </row>
    <row r="282" spans="6:9" x14ac:dyDescent="0.25">
      <c r="F282" s="19" t="str">
        <f>IF(B282="","",RTD("octo.rtdserver","",B282,"56"))</f>
        <v/>
      </c>
      <c r="G282" s="19" t="str">
        <f>IF(B282="","",RTD("octo.rtdserver","",B282,"60"))</f>
        <v/>
      </c>
      <c r="I282" s="13" t="str">
        <f t="shared" si="4"/>
        <v/>
      </c>
    </row>
    <row r="283" spans="6:9" x14ac:dyDescent="0.25">
      <c r="F283" s="19" t="str">
        <f>IF(B283="","",RTD("octo.rtdserver","",B283,"56"))</f>
        <v/>
      </c>
      <c r="G283" s="19" t="str">
        <f>IF(B283="","",RTD("octo.rtdserver","",B283,"60"))</f>
        <v/>
      </c>
      <c r="I283" s="13" t="str">
        <f t="shared" si="4"/>
        <v/>
      </c>
    </row>
    <row r="284" spans="6:9" x14ac:dyDescent="0.25">
      <c r="F284" s="19" t="str">
        <f>IF(B284="","",RTD("octo.rtdserver","",B284,"56"))</f>
        <v/>
      </c>
      <c r="G284" s="19" t="str">
        <f>IF(B284="","",RTD("octo.rtdserver","",B284,"60"))</f>
        <v/>
      </c>
      <c r="I284" s="13" t="str">
        <f t="shared" si="4"/>
        <v/>
      </c>
    </row>
    <row r="285" spans="6:9" x14ac:dyDescent="0.25">
      <c r="F285" s="19" t="str">
        <f>IF(B285="","",RTD("octo.rtdserver","",B285,"56"))</f>
        <v/>
      </c>
      <c r="G285" s="19" t="str">
        <f>IF(B285="","",RTD("octo.rtdserver","",B285,"60"))</f>
        <v/>
      </c>
      <c r="I285" s="13" t="str">
        <f t="shared" si="4"/>
        <v/>
      </c>
    </row>
    <row r="286" spans="6:9" x14ac:dyDescent="0.25">
      <c r="F286" s="19" t="str">
        <f>IF(B286="","",RTD("octo.rtdserver","",B286,"56"))</f>
        <v/>
      </c>
      <c r="G286" s="19" t="str">
        <f>IF(B286="","",RTD("octo.rtdserver","",B286,"60"))</f>
        <v/>
      </c>
      <c r="I286" s="13" t="str">
        <f t="shared" si="4"/>
        <v/>
      </c>
    </row>
    <row r="287" spans="6:9" x14ac:dyDescent="0.25">
      <c r="F287" s="19" t="str">
        <f>IF(B287="","",RTD("octo.rtdserver","",B287,"56"))</f>
        <v/>
      </c>
      <c r="G287" s="19" t="str">
        <f>IF(B287="","",RTD("octo.rtdserver","",B287,"60"))</f>
        <v/>
      </c>
      <c r="I287" s="13" t="str">
        <f t="shared" si="4"/>
        <v/>
      </c>
    </row>
    <row r="288" spans="6:9" x14ac:dyDescent="0.25">
      <c r="F288" s="19" t="str">
        <f>IF(B288="","",RTD("octo.rtdserver","",B288,"56"))</f>
        <v/>
      </c>
      <c r="G288" s="19" t="str">
        <f>IF(B288="","",RTD("octo.rtdserver","",B288,"60"))</f>
        <v/>
      </c>
      <c r="I288" s="13" t="str">
        <f t="shared" si="4"/>
        <v/>
      </c>
    </row>
    <row r="289" spans="6:9" x14ac:dyDescent="0.25">
      <c r="F289" s="19" t="str">
        <f>IF(B289="","",RTD("octo.rtdserver","",B289,"56"))</f>
        <v/>
      </c>
      <c r="G289" s="19" t="str">
        <f>IF(B289="","",RTD("octo.rtdserver","",B289,"60"))</f>
        <v/>
      </c>
      <c r="I289" s="13" t="str">
        <f t="shared" si="4"/>
        <v/>
      </c>
    </row>
    <row r="290" spans="6:9" x14ac:dyDescent="0.25">
      <c r="F290" s="19" t="str">
        <f>IF(B290="","",RTD("octo.rtdserver","",B290,"56"))</f>
        <v/>
      </c>
      <c r="G290" s="19" t="str">
        <f>IF(B290="","",RTD("octo.rtdserver","",B290,"60"))</f>
        <v/>
      </c>
      <c r="I290" s="13" t="str">
        <f t="shared" si="4"/>
        <v/>
      </c>
    </row>
    <row r="291" spans="6:9" x14ac:dyDescent="0.25">
      <c r="F291" s="19" t="str">
        <f>IF(B291="","",RTD("octo.rtdserver","",B291,"56"))</f>
        <v/>
      </c>
      <c r="G291" s="19" t="str">
        <f>IF(B291="","",RTD("octo.rtdserver","",B291,"60"))</f>
        <v/>
      </c>
      <c r="I291" s="13" t="str">
        <f t="shared" si="4"/>
        <v/>
      </c>
    </row>
    <row r="292" spans="6:9" x14ac:dyDescent="0.25">
      <c r="F292" s="19" t="str">
        <f>IF(B292="","",RTD("octo.rtdserver","",B292,"56"))</f>
        <v/>
      </c>
      <c r="G292" s="19" t="str">
        <f>IF(B292="","",RTD("octo.rtdserver","",B292,"60"))</f>
        <v/>
      </c>
      <c r="I292" s="13" t="str">
        <f t="shared" si="4"/>
        <v/>
      </c>
    </row>
    <row r="293" spans="6:9" x14ac:dyDescent="0.25">
      <c r="F293" s="19" t="str">
        <f>IF(B293="","",RTD("octo.rtdserver","",B293,"56"))</f>
        <v/>
      </c>
      <c r="G293" s="19" t="str">
        <f>IF(B293="","",RTD("octo.rtdserver","",B293,"60"))</f>
        <v/>
      </c>
      <c r="I293" s="13" t="str">
        <f t="shared" si="4"/>
        <v/>
      </c>
    </row>
    <row r="294" spans="6:9" x14ac:dyDescent="0.25">
      <c r="F294" s="19" t="str">
        <f>IF(B294="","",RTD("octo.rtdserver","",B294,"56"))</f>
        <v/>
      </c>
      <c r="G294" s="19" t="str">
        <f>IF(B294="","",RTD("octo.rtdserver","",B294,"60"))</f>
        <v/>
      </c>
      <c r="I294" s="13" t="str">
        <f t="shared" si="4"/>
        <v/>
      </c>
    </row>
    <row r="295" spans="6:9" x14ac:dyDescent="0.25">
      <c r="F295" s="19" t="str">
        <f>IF(B295="","",RTD("octo.rtdserver","",B295,"56"))</f>
        <v/>
      </c>
      <c r="G295" s="19" t="str">
        <f>IF(B295="","",RTD("octo.rtdserver","",B295,"60"))</f>
        <v/>
      </c>
      <c r="I295" s="13" t="str">
        <f t="shared" si="4"/>
        <v/>
      </c>
    </row>
    <row r="296" spans="6:9" x14ac:dyDescent="0.25">
      <c r="F296" s="19" t="str">
        <f>IF(B296="","",RTD("octo.rtdserver","",B296,"56"))</f>
        <v/>
      </c>
      <c r="G296" s="19" t="str">
        <f>IF(B296="","",RTD("octo.rtdserver","",B296,"60"))</f>
        <v/>
      </c>
      <c r="I296" s="13" t="str">
        <f t="shared" si="4"/>
        <v/>
      </c>
    </row>
    <row r="297" spans="6:9" x14ac:dyDescent="0.25">
      <c r="F297" s="19" t="str">
        <f>IF(B297="","",RTD("octo.rtdserver","",B297,"56"))</f>
        <v/>
      </c>
      <c r="G297" s="19" t="str">
        <f>IF(B297="","",RTD("octo.rtdserver","",B297,"60"))</f>
        <v/>
      </c>
      <c r="I297" s="13" t="str">
        <f t="shared" si="4"/>
        <v/>
      </c>
    </row>
    <row r="298" spans="6:9" x14ac:dyDescent="0.25">
      <c r="F298" s="19" t="str">
        <f>IF(B298="","",RTD("octo.rtdserver","",B298,"56"))</f>
        <v/>
      </c>
      <c r="G298" s="19" t="str">
        <f>IF(B298="","",RTD("octo.rtdserver","",B298,"60"))</f>
        <v/>
      </c>
      <c r="I298" s="13" t="str">
        <f t="shared" si="4"/>
        <v/>
      </c>
    </row>
    <row r="299" spans="6:9" x14ac:dyDescent="0.25">
      <c r="F299" s="19" t="str">
        <f>IF(B299="","",RTD("octo.rtdserver","",B299,"56"))</f>
        <v/>
      </c>
      <c r="G299" s="19" t="str">
        <f>IF(B299="","",RTD("octo.rtdserver","",B299,"60"))</f>
        <v/>
      </c>
      <c r="I299" s="13" t="str">
        <f t="shared" si="4"/>
        <v/>
      </c>
    </row>
    <row r="300" spans="6:9" x14ac:dyDescent="0.25">
      <c r="F300" s="19" t="str">
        <f>IF(B300="","",RTD("octo.rtdserver","",B300,"56"))</f>
        <v/>
      </c>
      <c r="G300" s="19" t="str">
        <f>IF(B300="","",RTD("octo.rtdserver","",B300,"60"))</f>
        <v/>
      </c>
      <c r="I300" s="13" t="str">
        <f t="shared" si="4"/>
        <v/>
      </c>
    </row>
    <row r="301" spans="6:9" x14ac:dyDescent="0.25">
      <c r="F301" s="19" t="str">
        <f>IF(B301="","",RTD("octo.rtdserver","",B301,"56"))</f>
        <v/>
      </c>
      <c r="G301" s="19" t="str">
        <f>IF(B301="","",RTD("octo.rtdserver","",B301,"60"))</f>
        <v/>
      </c>
      <c r="I301" s="13" t="str">
        <f t="shared" si="4"/>
        <v/>
      </c>
    </row>
    <row r="302" spans="6:9" x14ac:dyDescent="0.25">
      <c r="F302" s="19" t="str">
        <f>IF(B302="","",RTD("octo.rtdserver","",B302,"56"))</f>
        <v/>
      </c>
      <c r="G302" s="19" t="str">
        <f>IF(B302="","",RTD("octo.rtdserver","",B302,"60"))</f>
        <v/>
      </c>
      <c r="I302" s="13" t="str">
        <f t="shared" si="4"/>
        <v/>
      </c>
    </row>
    <row r="303" spans="6:9" x14ac:dyDescent="0.25">
      <c r="F303" s="19" t="str">
        <f>IF(B303="","",RTD("octo.rtdserver","",B303,"56"))</f>
        <v/>
      </c>
      <c r="G303" s="19" t="str">
        <f>IF(B303="","",RTD("octo.rtdserver","",B303,"60"))</f>
        <v/>
      </c>
      <c r="I303" s="13" t="str">
        <f t="shared" si="4"/>
        <v/>
      </c>
    </row>
    <row r="304" spans="6:9" x14ac:dyDescent="0.25">
      <c r="F304" s="19" t="str">
        <f>IF(B304="","",RTD("octo.rtdserver","",B304,"56"))</f>
        <v/>
      </c>
      <c r="G304" s="19" t="str">
        <f>IF(B304="","",RTD("octo.rtdserver","",B304,"60"))</f>
        <v/>
      </c>
      <c r="I304" s="13" t="str">
        <f t="shared" si="4"/>
        <v/>
      </c>
    </row>
    <row r="305" spans="6:9" x14ac:dyDescent="0.25">
      <c r="F305" s="19" t="str">
        <f>IF(B305="","",RTD("octo.rtdserver","",B305,"56"))</f>
        <v/>
      </c>
      <c r="G305" s="19" t="str">
        <f>IF(B305="","",RTD("octo.rtdserver","",B305,"60"))</f>
        <v/>
      </c>
      <c r="I305" s="13" t="str">
        <f t="shared" si="4"/>
        <v/>
      </c>
    </row>
    <row r="306" spans="6:9" x14ac:dyDescent="0.25">
      <c r="F306" s="19" t="str">
        <f>IF(B306="","",RTD("octo.rtdserver","",B306,"56"))</f>
        <v/>
      </c>
      <c r="G306" s="19" t="str">
        <f>IF(B306="","",RTD("octo.rtdserver","",B306,"60"))</f>
        <v/>
      </c>
      <c r="I306" s="13" t="str">
        <f t="shared" si="4"/>
        <v/>
      </c>
    </row>
    <row r="307" spans="6:9" x14ac:dyDescent="0.25">
      <c r="F307" s="19" t="str">
        <f>IF(B307="","",RTD("octo.rtdserver","",B307,"56"))</f>
        <v/>
      </c>
      <c r="G307" s="19" t="str">
        <f>IF(B307="","",RTD("octo.rtdserver","",B307,"60"))</f>
        <v/>
      </c>
      <c r="I307" s="13" t="str">
        <f t="shared" si="4"/>
        <v/>
      </c>
    </row>
    <row r="308" spans="6:9" x14ac:dyDescent="0.25">
      <c r="F308" s="19" t="str">
        <f>IF(B308="","",RTD("octo.rtdserver","",B308,"56"))</f>
        <v/>
      </c>
      <c r="G308" s="19" t="str">
        <f>IF(B308="","",RTD("octo.rtdserver","",B308,"60"))</f>
        <v/>
      </c>
      <c r="I308" s="13" t="str">
        <f t="shared" si="4"/>
        <v/>
      </c>
    </row>
    <row r="309" spans="6:9" x14ac:dyDescent="0.25">
      <c r="F309" s="19" t="str">
        <f>IF(B309="","",RTD("octo.rtdserver","",B309,"56"))</f>
        <v/>
      </c>
      <c r="G309" s="19" t="str">
        <f>IF(B309="","",RTD("octo.rtdserver","",B309,"60"))</f>
        <v/>
      </c>
      <c r="I309" s="13" t="str">
        <f t="shared" si="4"/>
        <v/>
      </c>
    </row>
    <row r="310" spans="6:9" x14ac:dyDescent="0.25">
      <c r="F310" s="19" t="str">
        <f>IF(B310="","",RTD("octo.rtdserver","",B310,"56"))</f>
        <v/>
      </c>
      <c r="G310" s="19" t="str">
        <f>IF(B310="","",RTD("octo.rtdserver","",B310,"60"))</f>
        <v/>
      </c>
      <c r="I310" s="13" t="str">
        <f t="shared" si="4"/>
        <v/>
      </c>
    </row>
    <row r="311" spans="6:9" x14ac:dyDescent="0.25">
      <c r="F311" s="19" t="str">
        <f>IF(B311="","",RTD("octo.rtdserver","",B311,"56"))</f>
        <v/>
      </c>
      <c r="G311" s="19" t="str">
        <f>IF(B311="","",RTD("octo.rtdserver","",B311,"60"))</f>
        <v/>
      </c>
      <c r="I311" s="13" t="str">
        <f t="shared" si="4"/>
        <v/>
      </c>
    </row>
    <row r="312" spans="6:9" x14ac:dyDescent="0.25">
      <c r="F312" s="19" t="str">
        <f>IF(B312="","",RTD("octo.rtdserver","",B312,"56"))</f>
        <v/>
      </c>
      <c r="G312" s="19" t="str">
        <f>IF(B312="","",RTD("octo.rtdserver","",B312,"60"))</f>
        <v/>
      </c>
      <c r="I312" s="13" t="str">
        <f t="shared" si="4"/>
        <v/>
      </c>
    </row>
    <row r="313" spans="6:9" x14ac:dyDescent="0.25">
      <c r="F313" s="19" t="str">
        <f>IF(B313="","",RTD("octo.rtdserver","",B313,"56"))</f>
        <v/>
      </c>
      <c r="G313" s="19" t="str">
        <f>IF(B313="","",RTD("octo.rtdserver","",B313,"60"))</f>
        <v/>
      </c>
      <c r="I313" s="13" t="str">
        <f t="shared" si="4"/>
        <v/>
      </c>
    </row>
    <row r="314" spans="6:9" x14ac:dyDescent="0.25">
      <c r="F314" s="19" t="str">
        <f>IF(B314="","",RTD("octo.rtdserver","",B314,"56"))</f>
        <v/>
      </c>
      <c r="G314" s="19" t="str">
        <f>IF(B314="","",RTD("octo.rtdserver","",B314,"60"))</f>
        <v/>
      </c>
      <c r="I314" s="13" t="str">
        <f t="shared" si="4"/>
        <v/>
      </c>
    </row>
    <row r="315" spans="6:9" x14ac:dyDescent="0.25">
      <c r="F315" s="19" t="str">
        <f>IF(B315="","",RTD("octo.rtdserver","",B315,"56"))</f>
        <v/>
      </c>
      <c r="G315" s="19" t="str">
        <f>IF(B315="","",RTD("octo.rtdserver","",B315,"60"))</f>
        <v/>
      </c>
      <c r="I315" s="13" t="str">
        <f t="shared" si="4"/>
        <v/>
      </c>
    </row>
    <row r="316" spans="6:9" x14ac:dyDescent="0.25">
      <c r="F316" s="19" t="str">
        <f>IF(B316="","",RTD("octo.rtdserver","",B316,"56"))</f>
        <v/>
      </c>
      <c r="G316" s="19" t="str">
        <f>IF(B316="","",RTD("octo.rtdserver","",B316,"60"))</f>
        <v/>
      </c>
      <c r="I316" s="13" t="str">
        <f t="shared" si="4"/>
        <v/>
      </c>
    </row>
    <row r="317" spans="6:9" x14ac:dyDescent="0.25">
      <c r="F317" s="19" t="str">
        <f>IF(B317="","",RTD("octo.rtdserver","",B317,"56"))</f>
        <v/>
      </c>
      <c r="G317" s="19" t="str">
        <f>IF(B317="","",RTD("octo.rtdserver","",B317,"60"))</f>
        <v/>
      </c>
      <c r="I317" s="13" t="str">
        <f t="shared" si="4"/>
        <v/>
      </c>
    </row>
    <row r="318" spans="6:9" x14ac:dyDescent="0.25">
      <c r="F318" s="19" t="str">
        <f>IF(B318="","",RTD("octo.rtdserver","",B318,"56"))</f>
        <v/>
      </c>
      <c r="G318" s="19" t="str">
        <f>IF(B318="","",RTD("octo.rtdserver","",B318,"60"))</f>
        <v/>
      </c>
      <c r="I318" s="13" t="str">
        <f t="shared" si="4"/>
        <v/>
      </c>
    </row>
    <row r="319" spans="6:9" x14ac:dyDescent="0.25">
      <c r="F319" s="19" t="str">
        <f>IF(B319="","",RTD("octo.rtdserver","",B319,"56"))</f>
        <v/>
      </c>
      <c r="G319" s="19" t="str">
        <f>IF(B319="","",RTD("octo.rtdserver","",B319,"60"))</f>
        <v/>
      </c>
      <c r="I319" s="13" t="str">
        <f t="shared" si="4"/>
        <v/>
      </c>
    </row>
    <row r="320" spans="6:9" x14ac:dyDescent="0.25">
      <c r="F320" s="19" t="str">
        <f>IF(B320="","",RTD("octo.rtdserver","",B320,"56"))</f>
        <v/>
      </c>
      <c r="G320" s="19" t="str">
        <f>IF(B320="","",RTD("octo.rtdserver","",B320,"60"))</f>
        <v/>
      </c>
      <c r="I320" s="13" t="str">
        <f t="shared" si="4"/>
        <v/>
      </c>
    </row>
    <row r="321" spans="5:9" x14ac:dyDescent="0.25">
      <c r="F321" s="19" t="str">
        <f>IF(B321="","",RTD("octo.rtdserver","",B321,"56"))</f>
        <v/>
      </c>
      <c r="G321" s="19" t="str">
        <f>IF(B321="","",RTD("octo.rtdserver","",B321,"60"))</f>
        <v/>
      </c>
      <c r="I321" s="13" t="str">
        <f t="shared" si="4"/>
        <v/>
      </c>
    </row>
    <row r="322" spans="5:9" x14ac:dyDescent="0.25">
      <c r="F322" s="19" t="str">
        <f>IF(B322="","",RTD("octo.rtdserver","",B322,"56"))</f>
        <v/>
      </c>
      <c r="G322" s="19" t="str">
        <f>IF(B322="","",RTD("octo.rtdserver","",B322,"60"))</f>
        <v/>
      </c>
      <c r="I322" s="13" t="str">
        <f t="shared" si="4"/>
        <v/>
      </c>
    </row>
    <row r="323" spans="5:9" x14ac:dyDescent="0.25">
      <c r="F323" s="19" t="str">
        <f>IF(B323="","",RTD("octo.rtdserver","",B323,"56"))</f>
        <v/>
      </c>
      <c r="G323" s="19" t="str">
        <f>IF(B323="","",RTD("octo.rtdserver","",B323,"60"))</f>
        <v/>
      </c>
      <c r="I323" s="13" t="str">
        <f t="shared" si="4"/>
        <v/>
      </c>
    </row>
    <row r="324" spans="5:9" x14ac:dyDescent="0.25">
      <c r="F324" s="19" t="str">
        <f>IF(B324="","",RTD("octo.rtdserver","",B324,"56"))</f>
        <v/>
      </c>
      <c r="G324" s="19" t="str">
        <f>IF(B324="","",RTD("octo.rtdserver","",B324,"60"))</f>
        <v/>
      </c>
      <c r="I324" s="13" t="str">
        <f t="shared" si="4"/>
        <v/>
      </c>
    </row>
    <row r="325" spans="5:9" x14ac:dyDescent="0.25">
      <c r="F325" s="19" t="str">
        <f>IF(B325="","",RTD("octo.rtdserver","",B325,"56"))</f>
        <v/>
      </c>
      <c r="G325" s="19" t="str">
        <f>IF(B325="","",RTD("octo.rtdserver","",B325,"60"))</f>
        <v/>
      </c>
      <c r="I325" s="13" t="str">
        <f t="shared" si="4"/>
        <v/>
      </c>
    </row>
    <row r="326" spans="5:9" x14ac:dyDescent="0.25">
      <c r="E326" s="8"/>
      <c r="F326" s="19" t="str">
        <f>IF(B326="","",RTD("octo.rtdserver","",B326,"56"))</f>
        <v/>
      </c>
      <c r="G326" s="13" t="str">
        <f>IF(B326="","",RTD("octo.rtdserver","",B326,"60"))</f>
        <v/>
      </c>
      <c r="I326" s="13" t="str">
        <f t="shared" si="4"/>
        <v/>
      </c>
    </row>
    <row r="327" spans="5:9" x14ac:dyDescent="0.25">
      <c r="E327" s="8"/>
      <c r="F327" s="19" t="str">
        <f>IF(B327="","",RTD("octo.rtdserver","",B327,"56"))</f>
        <v/>
      </c>
      <c r="G327" s="13" t="str">
        <f>IF(B327="","",RTD("octo.rtdserver","",B327,"60"))</f>
        <v/>
      </c>
      <c r="I327" s="13" t="str">
        <f t="shared" si="4"/>
        <v/>
      </c>
    </row>
    <row r="328" spans="5:9" x14ac:dyDescent="0.25">
      <c r="E328" s="8"/>
      <c r="F328" s="19" t="str">
        <f>IF(B328="","",RTD("octo.rtdserver","",B328,"56"))</f>
        <v/>
      </c>
      <c r="G328" s="13" t="str">
        <f>IF(B328="","",RTD("octo.rtdserver","",B328,"60"))</f>
        <v/>
      </c>
      <c r="I328" s="13" t="str">
        <f t="shared" si="4"/>
        <v/>
      </c>
    </row>
    <row r="329" spans="5:9" x14ac:dyDescent="0.25">
      <c r="E329" s="8"/>
      <c r="F329" s="19" t="str">
        <f>IF(B329="","",RTD("octo.rtdserver","",B329,"56"))</f>
        <v/>
      </c>
      <c r="G329" s="13" t="str">
        <f>IF(B329="","",RTD("octo.rtdserver","",B329,"60"))</f>
        <v/>
      </c>
      <c r="I329" s="13" t="str">
        <f t="shared" si="4"/>
        <v/>
      </c>
    </row>
  </sheetData>
  <sheetProtection algorithmName="SHA-512" hashValue="FfFQ9S3oqod5o3luVO1t+8eSkotdS/GGuts+e9fHaovvakUPg3Te5BD3HUJE2F0VQ3JvY5yxVjT1yfHfDM5WjA==" saltValue="TlF3I6jqXszqPgUkPks5ig==" spinCount="100000" sheet="1" formatCells="0" formatColumns="0" formatRows="0" insertColumns="0" insertRows="0" insertHyperlinks="0" deleteColumns="0" deleteRows="0" sort="0" autoFilter="0" pivotTables="0"/>
  <protectedRanges>
    <protectedRange sqref="F6" name="Intervalo3"/>
    <protectedRange sqref="B10:E352" name="Intervalo1_1"/>
    <protectedRange sqref="C13:G328" name="Intervalo2"/>
  </protectedRanges>
  <mergeCells count="5">
    <mergeCell ref="D2:I3"/>
    <mergeCell ref="D6:E6"/>
    <mergeCell ref="D7:E7"/>
    <mergeCell ref="D8:E8"/>
    <mergeCell ref="D9:E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voltar">
                <anchor moveWithCells="1" sizeWithCells="1">
                  <from>
                    <xdr:col>8</xdr:col>
                    <xdr:colOff>28575</xdr:colOff>
                    <xdr:row>3</xdr:row>
                    <xdr:rowOff>38100</xdr:rowOff>
                  </from>
                  <to>
                    <xdr:col>8</xdr:col>
                    <xdr:colOff>781050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Macro1">
                <anchor moveWithCells="1" sizeWithCells="1">
                  <from>
                    <xdr:col>8</xdr:col>
                    <xdr:colOff>847725</xdr:colOff>
                    <xdr:row>3</xdr:row>
                    <xdr:rowOff>19050</xdr:rowOff>
                  </from>
                  <to>
                    <xdr:col>9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acom">
                <anchor moveWithCells="1" sizeWithCells="1">
                  <from>
                    <xdr:col>8</xdr:col>
                    <xdr:colOff>19050</xdr:colOff>
                    <xdr:row>4</xdr:row>
                    <xdr:rowOff>180975</xdr:rowOff>
                  </from>
                  <to>
                    <xdr:col>8</xdr:col>
                    <xdr:colOff>771525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acom">
                <anchor moveWithCells="1" sizeWithCells="1">
                  <from>
                    <xdr:col>8</xdr:col>
                    <xdr:colOff>838200</xdr:colOff>
                    <xdr:row>4</xdr:row>
                    <xdr:rowOff>180975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voltar">
                <anchor moveWithCells="1" sizeWithCells="1">
                  <from>
                    <xdr:col>8</xdr:col>
                    <xdr:colOff>28575</xdr:colOff>
                    <xdr:row>3</xdr:row>
                    <xdr:rowOff>38100</xdr:rowOff>
                  </from>
                  <to>
                    <xdr:col>8</xdr:col>
                    <xdr:colOff>781050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Fill="0" autoPict="0" macro="[0]!Macro1">
                <anchor moveWithCells="1" sizeWithCells="1">
                  <from>
                    <xdr:col>8</xdr:col>
                    <xdr:colOff>847725</xdr:colOff>
                    <xdr:row>3</xdr:row>
                    <xdr:rowOff>19050</xdr:rowOff>
                  </from>
                  <to>
                    <xdr:col>9</xdr:col>
                    <xdr:colOff>838200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Button 7">
              <controlPr defaultSize="0" print="0" autoFill="0" autoPict="0" macro="[0]!acom">
                <anchor moveWithCells="1" sizeWithCells="1">
                  <from>
                    <xdr:col>8</xdr:col>
                    <xdr:colOff>19050</xdr:colOff>
                    <xdr:row>4</xdr:row>
                    <xdr:rowOff>180975</xdr:rowOff>
                  </from>
                  <to>
                    <xdr:col>8</xdr:col>
                    <xdr:colOff>771525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Button 8">
              <controlPr defaultSize="0" print="0" autoFill="0" autoPict="0" macro="[0]!acom">
                <anchor moveWithCells="1" sizeWithCells="1">
                  <from>
                    <xdr:col>8</xdr:col>
                    <xdr:colOff>838200</xdr:colOff>
                    <xdr:row>4</xdr:row>
                    <xdr:rowOff>190500</xdr:rowOff>
                  </from>
                  <to>
                    <xdr:col>9</xdr:col>
                    <xdr:colOff>866775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E54"/>
  <sheetViews>
    <sheetView workbookViewId="0">
      <selection activeCell="C62" sqref="C62"/>
    </sheetView>
  </sheetViews>
  <sheetFormatPr defaultRowHeight="15" x14ac:dyDescent="0.25"/>
  <cols>
    <col min="1" max="1" width="54.7109375" customWidth="1"/>
    <col min="2" max="2" width="11.85546875" bestFit="1" customWidth="1"/>
    <col min="3" max="3" width="26.7109375" bestFit="1" customWidth="1"/>
    <col min="4" max="5" width="13.7109375" bestFit="1" customWidth="1"/>
  </cols>
  <sheetData>
    <row r="1" spans="1:5" x14ac:dyDescent="0.25">
      <c r="A1" t="s">
        <v>81</v>
      </c>
    </row>
    <row r="2" spans="1:5" x14ac:dyDescent="0.25">
      <c r="A2" t="s">
        <v>82</v>
      </c>
    </row>
    <row r="3" spans="1:5" x14ac:dyDescent="0.25">
      <c r="A3" t="s">
        <v>83</v>
      </c>
    </row>
    <row r="4" spans="1:5" x14ac:dyDescent="0.25">
      <c r="A4" t="s">
        <v>84</v>
      </c>
    </row>
    <row r="6" spans="1:5" x14ac:dyDescent="0.25">
      <c r="A6" t="s">
        <v>85</v>
      </c>
      <c r="B6" t="s">
        <v>86</v>
      </c>
      <c r="C6" t="s">
        <v>87</v>
      </c>
      <c r="D6" t="s">
        <v>88</v>
      </c>
      <c r="E6" t="s">
        <v>89</v>
      </c>
    </row>
    <row r="7" spans="1:5" x14ac:dyDescent="0.25">
      <c r="A7" t="s">
        <v>90</v>
      </c>
    </row>
    <row r="8" spans="1:5" x14ac:dyDescent="0.25">
      <c r="A8" t="s">
        <v>91</v>
      </c>
      <c r="B8" s="6">
        <v>45519</v>
      </c>
      <c r="C8">
        <v>5.53</v>
      </c>
      <c r="D8" s="7">
        <v>40.68</v>
      </c>
      <c r="E8" s="7">
        <v>2034.18</v>
      </c>
    </row>
    <row r="9" spans="1:5" x14ac:dyDescent="0.25">
      <c r="A9" t="s">
        <v>92</v>
      </c>
      <c r="B9" s="6">
        <v>49444</v>
      </c>
      <c r="C9">
        <v>5.59</v>
      </c>
      <c r="D9" s="7">
        <v>33.94</v>
      </c>
      <c r="E9" s="7">
        <v>1131.3699999999999</v>
      </c>
    </row>
    <row r="10" spans="1:5" x14ac:dyDescent="0.25">
      <c r="A10" t="s">
        <v>93</v>
      </c>
      <c r="B10" s="6">
        <v>53097</v>
      </c>
      <c r="C10">
        <v>5.59</v>
      </c>
      <c r="D10" s="7">
        <v>32.880000000000003</v>
      </c>
      <c r="E10" s="7">
        <v>657.71</v>
      </c>
    </row>
    <row r="11" spans="1:5" x14ac:dyDescent="0.25">
      <c r="A11" t="s">
        <v>94</v>
      </c>
      <c r="B11" s="6">
        <v>46249</v>
      </c>
      <c r="C11">
        <v>5.63</v>
      </c>
      <c r="D11" s="7">
        <v>31.25</v>
      </c>
      <c r="E11" s="7">
        <v>3125.33</v>
      </c>
    </row>
    <row r="12" spans="1:5" x14ac:dyDescent="0.25">
      <c r="A12" t="s">
        <v>95</v>
      </c>
      <c r="B12" s="6">
        <v>49444</v>
      </c>
      <c r="C12">
        <v>5.58</v>
      </c>
      <c r="D12" s="7">
        <v>31.46</v>
      </c>
      <c r="E12" s="7">
        <v>3146.77</v>
      </c>
    </row>
    <row r="13" spans="1:5" x14ac:dyDescent="0.25">
      <c r="A13" t="s">
        <v>96</v>
      </c>
      <c r="B13" s="6">
        <v>55015</v>
      </c>
      <c r="C13">
        <v>5.57</v>
      </c>
      <c r="D13" s="7">
        <v>32.43</v>
      </c>
      <c r="E13" s="7">
        <v>3243.93</v>
      </c>
    </row>
    <row r="14" spans="1:5" x14ac:dyDescent="0.25">
      <c r="A14" t="s">
        <v>97</v>
      </c>
    </row>
    <row r="15" spans="1:5" x14ac:dyDescent="0.25">
      <c r="A15" t="s">
        <v>98</v>
      </c>
      <c r="B15" s="6">
        <v>43831</v>
      </c>
      <c r="C15">
        <v>10.19</v>
      </c>
      <c r="D15" s="7">
        <v>31.1</v>
      </c>
      <c r="E15" s="7">
        <v>777.67</v>
      </c>
    </row>
    <row r="16" spans="1:5" x14ac:dyDescent="0.25">
      <c r="A16" t="s">
        <v>99</v>
      </c>
      <c r="B16" s="6">
        <v>44927</v>
      </c>
      <c r="C16">
        <v>11.01</v>
      </c>
      <c r="D16" s="7">
        <v>33.5</v>
      </c>
      <c r="E16" s="7">
        <v>558.35</v>
      </c>
    </row>
    <row r="17" spans="1:5" x14ac:dyDescent="0.25">
      <c r="A17" t="s">
        <v>100</v>
      </c>
      <c r="B17" s="6">
        <v>46388</v>
      </c>
      <c r="C17">
        <v>10.85</v>
      </c>
      <c r="D17" s="7">
        <v>39.72</v>
      </c>
      <c r="E17" s="7">
        <v>993.11</v>
      </c>
    </row>
    <row r="18" spans="1:5" x14ac:dyDescent="0.25">
      <c r="A18" t="s">
        <v>101</v>
      </c>
    </row>
    <row r="19" spans="1:5" x14ac:dyDescent="0.25">
      <c r="A19" t="s">
        <v>102</v>
      </c>
      <c r="B19" s="6">
        <v>44986</v>
      </c>
      <c r="C19">
        <v>0.05</v>
      </c>
      <c r="D19" s="7">
        <v>88.12</v>
      </c>
      <c r="E19" s="7">
        <v>8812.24</v>
      </c>
    </row>
    <row r="21" spans="1:5" x14ac:dyDescent="0.25">
      <c r="A21" t="s">
        <v>103</v>
      </c>
    </row>
    <row r="22" spans="1:5" x14ac:dyDescent="0.25">
      <c r="A22" t="s">
        <v>82</v>
      </c>
    </row>
    <row r="23" spans="1:5" x14ac:dyDescent="0.25">
      <c r="A23" t="s">
        <v>83</v>
      </c>
    </row>
    <row r="24" spans="1:5" x14ac:dyDescent="0.25">
      <c r="A24" t="s">
        <v>104</v>
      </c>
    </row>
    <row r="26" spans="1:5" x14ac:dyDescent="0.25">
      <c r="A26" t="s">
        <v>85</v>
      </c>
      <c r="B26" t="s">
        <v>86</v>
      </c>
      <c r="C26" t="s">
        <v>87</v>
      </c>
      <c r="D26" t="s">
        <v>89</v>
      </c>
    </row>
    <row r="27" spans="1:5" x14ac:dyDescent="0.25">
      <c r="A27" t="s">
        <v>90</v>
      </c>
    </row>
    <row r="28" spans="1:5" x14ac:dyDescent="0.25">
      <c r="A28" t="s">
        <v>105</v>
      </c>
      <c r="B28" s="6">
        <v>43600</v>
      </c>
      <c r="C28">
        <v>5.18</v>
      </c>
      <c r="D28" s="7">
        <v>2714.8</v>
      </c>
    </row>
    <row r="29" spans="1:5" x14ac:dyDescent="0.25">
      <c r="A29" t="s">
        <v>91</v>
      </c>
      <c r="B29" s="6">
        <v>45519</v>
      </c>
      <c r="C29">
        <v>5.65</v>
      </c>
      <c r="D29" s="7">
        <v>2017.62</v>
      </c>
    </row>
    <row r="30" spans="1:5" x14ac:dyDescent="0.25">
      <c r="A30" t="s">
        <v>92</v>
      </c>
      <c r="B30" s="6">
        <v>49444</v>
      </c>
      <c r="C30">
        <v>5.71</v>
      </c>
      <c r="D30" s="7">
        <v>1108.5999999999999</v>
      </c>
    </row>
    <row r="31" spans="1:5" x14ac:dyDescent="0.25">
      <c r="A31" t="s">
        <v>93</v>
      </c>
      <c r="B31" s="6">
        <v>53097</v>
      </c>
      <c r="C31">
        <v>5.71</v>
      </c>
      <c r="D31" s="7">
        <v>637.21</v>
      </c>
    </row>
    <row r="32" spans="1:5" x14ac:dyDescent="0.25">
      <c r="A32" t="s">
        <v>106</v>
      </c>
      <c r="B32" s="6">
        <v>44058</v>
      </c>
      <c r="C32">
        <v>5.48</v>
      </c>
      <c r="D32" s="7">
        <v>3090.52</v>
      </c>
    </row>
    <row r="33" spans="1:4" x14ac:dyDescent="0.25">
      <c r="A33" t="s">
        <v>107</v>
      </c>
      <c r="B33" s="6">
        <v>45519</v>
      </c>
      <c r="C33">
        <v>5.65</v>
      </c>
      <c r="D33" s="7">
        <v>3108.77</v>
      </c>
    </row>
    <row r="34" spans="1:4" x14ac:dyDescent="0.25">
      <c r="A34" t="s">
        <v>94</v>
      </c>
      <c r="B34" s="6">
        <v>46249</v>
      </c>
      <c r="C34">
        <v>5.75</v>
      </c>
      <c r="D34" s="7">
        <v>3100.14</v>
      </c>
    </row>
    <row r="35" spans="1:4" x14ac:dyDescent="0.25">
      <c r="A35" t="s">
        <v>95</v>
      </c>
      <c r="B35" s="6">
        <v>49444</v>
      </c>
      <c r="C35">
        <v>5.7</v>
      </c>
      <c r="D35" s="7">
        <v>3106.34</v>
      </c>
    </row>
    <row r="36" spans="1:4" x14ac:dyDescent="0.25">
      <c r="A36" t="s">
        <v>108</v>
      </c>
      <c r="B36" s="6">
        <v>53097</v>
      </c>
      <c r="C36">
        <v>5.73</v>
      </c>
      <c r="D36" s="7">
        <v>3119.45</v>
      </c>
    </row>
    <row r="37" spans="1:4" x14ac:dyDescent="0.25">
      <c r="A37" t="s">
        <v>96</v>
      </c>
      <c r="B37" s="6">
        <v>55015</v>
      </c>
      <c r="C37">
        <v>5.69</v>
      </c>
      <c r="D37" s="7">
        <v>3188.87</v>
      </c>
    </row>
    <row r="38" spans="1:4" x14ac:dyDescent="0.25">
      <c r="A38" t="s">
        <v>97</v>
      </c>
      <c r="B38" s="6"/>
      <c r="D38" s="7"/>
    </row>
    <row r="39" spans="1:4" x14ac:dyDescent="0.25">
      <c r="A39" t="s">
        <v>109</v>
      </c>
      <c r="B39" s="6">
        <v>43101</v>
      </c>
      <c r="C39">
        <v>9.6</v>
      </c>
      <c r="D39" s="42">
        <v>946.89</v>
      </c>
    </row>
    <row r="40" spans="1:4" x14ac:dyDescent="0.25">
      <c r="A40" t="s">
        <v>110</v>
      </c>
      <c r="B40" s="6">
        <v>43466</v>
      </c>
      <c r="C40">
        <v>9.73</v>
      </c>
      <c r="D40" s="7">
        <v>862.96</v>
      </c>
    </row>
    <row r="41" spans="1:4" x14ac:dyDescent="0.25">
      <c r="A41" t="s">
        <v>98</v>
      </c>
      <c r="B41" s="6">
        <v>43831</v>
      </c>
      <c r="C41">
        <v>10.31</v>
      </c>
      <c r="D41" s="7">
        <v>775.48</v>
      </c>
    </row>
    <row r="42" spans="1:4" x14ac:dyDescent="0.25">
      <c r="A42" t="s">
        <v>111</v>
      </c>
      <c r="B42" s="6">
        <v>44197</v>
      </c>
      <c r="C42">
        <v>10.76</v>
      </c>
      <c r="D42" s="7">
        <v>693.08</v>
      </c>
    </row>
    <row r="43" spans="1:4" x14ac:dyDescent="0.25">
      <c r="A43" t="s">
        <v>99</v>
      </c>
      <c r="B43" s="6">
        <v>44927</v>
      </c>
      <c r="C43">
        <v>11.13</v>
      </c>
      <c r="D43" s="7">
        <v>554.99</v>
      </c>
    </row>
    <row r="44" spans="1:4" x14ac:dyDescent="0.25">
      <c r="A44" t="s">
        <v>112</v>
      </c>
      <c r="B44" s="6">
        <v>44197</v>
      </c>
      <c r="C44">
        <v>10.62</v>
      </c>
      <c r="D44" s="7">
        <v>1022.75</v>
      </c>
    </row>
    <row r="45" spans="1:4" x14ac:dyDescent="0.25">
      <c r="A45" t="s">
        <v>113</v>
      </c>
      <c r="B45" s="6">
        <v>44927</v>
      </c>
      <c r="C45">
        <v>10.89</v>
      </c>
      <c r="D45" s="7">
        <v>1005.61</v>
      </c>
    </row>
    <row r="46" spans="1:4" x14ac:dyDescent="0.25">
      <c r="A46" t="s">
        <v>114</v>
      </c>
      <c r="B46" s="6">
        <v>45658</v>
      </c>
      <c r="C46">
        <v>10.96</v>
      </c>
      <c r="D46" s="7">
        <v>994.23</v>
      </c>
    </row>
    <row r="47" spans="1:4" x14ac:dyDescent="0.25">
      <c r="A47" t="s">
        <v>100</v>
      </c>
      <c r="B47" s="6">
        <v>46388</v>
      </c>
      <c r="C47">
        <v>10.97</v>
      </c>
      <c r="D47" s="7">
        <v>986.59</v>
      </c>
    </row>
    <row r="48" spans="1:4" x14ac:dyDescent="0.25">
      <c r="A48" t="s">
        <v>101</v>
      </c>
      <c r="B48" s="6"/>
      <c r="D48" s="7"/>
    </row>
    <row r="49" spans="1:4" x14ac:dyDescent="0.25">
      <c r="A49" t="s">
        <v>115</v>
      </c>
      <c r="B49" s="6">
        <v>44256</v>
      </c>
      <c r="C49">
        <v>0.09</v>
      </c>
      <c r="D49" s="42">
        <v>8807.8799999999992</v>
      </c>
    </row>
    <row r="50" spans="1:4" x14ac:dyDescent="0.25">
      <c r="A50" t="s">
        <v>102</v>
      </c>
      <c r="B50" s="6">
        <v>44986</v>
      </c>
      <c r="C50">
        <v>0.09</v>
      </c>
      <c r="D50" s="7">
        <v>8792.06</v>
      </c>
    </row>
    <row r="51" spans="1:4" x14ac:dyDescent="0.25">
      <c r="A51" t="s">
        <v>116</v>
      </c>
      <c r="B51" s="6"/>
      <c r="D51" s="7"/>
    </row>
    <row r="52" spans="1:4" x14ac:dyDescent="0.25">
      <c r="A52" t="s">
        <v>117</v>
      </c>
      <c r="B52" s="6">
        <v>42917</v>
      </c>
      <c r="C52">
        <v>7.93</v>
      </c>
      <c r="D52" s="42">
        <v>3641.32</v>
      </c>
    </row>
    <row r="53" spans="1:4" x14ac:dyDescent="0.25">
      <c r="A53" t="s">
        <v>118</v>
      </c>
      <c r="B53" s="6">
        <v>44287</v>
      </c>
      <c r="C53">
        <v>5.66</v>
      </c>
      <c r="D53" s="7">
        <v>3639.02</v>
      </c>
    </row>
    <row r="54" spans="1:4" x14ac:dyDescent="0.25">
      <c r="A54" t="s">
        <v>119</v>
      </c>
      <c r="B54" s="6">
        <v>47849</v>
      </c>
      <c r="C54">
        <v>5.69</v>
      </c>
      <c r="D54" s="7">
        <v>5771.44</v>
      </c>
    </row>
  </sheetData>
  <dataValidations count="1">
    <dataValidation type="list" allowBlank="1" showInputMessage="1" showErrorMessage="1" sqref="A8:A19" xr:uid="{00000000-0002-0000-0600-000000000000}">
      <formula1>$A$8:$A$19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A4:B47"/>
  <sheetViews>
    <sheetView workbookViewId="0">
      <selection activeCell="B34" sqref="B34"/>
    </sheetView>
  </sheetViews>
  <sheetFormatPr defaultRowHeight="15" x14ac:dyDescent="0.25"/>
  <cols>
    <col min="1" max="1" width="48.85546875" bestFit="1" customWidth="1"/>
  </cols>
  <sheetData>
    <row r="4" spans="1:2" x14ac:dyDescent="0.25">
      <c r="A4" t="str">
        <f>Plan4!A7</f>
        <v>Indexados ao IPCA</v>
      </c>
      <c r="B4">
        <f>VLOOKUP(A4,Plan4!A26:D56,4,0)</f>
        <v>0</v>
      </c>
    </row>
    <row r="5" spans="1:2" x14ac:dyDescent="0.25">
      <c r="A5" t="str">
        <f>Plan4!A8</f>
        <v>Tesouro IPCA+ 2024 (NTNB Princ)</v>
      </c>
      <c r="B5">
        <f>VLOOKUP(A5,Plan4!A27:D57,4,0)</f>
        <v>2017.62</v>
      </c>
    </row>
    <row r="6" spans="1:2" x14ac:dyDescent="0.25">
      <c r="A6" t="str">
        <f>Plan4!A9</f>
        <v>Tesouro IPCA+ 2035 (NTNB Princ)</v>
      </c>
      <c r="B6">
        <f>VLOOKUP(A6,Plan4!A28:D58,4,0)</f>
        <v>1108.5999999999999</v>
      </c>
    </row>
    <row r="7" spans="1:2" x14ac:dyDescent="0.25">
      <c r="A7" t="str">
        <f>Plan4!A10</f>
        <v>Tesouro IPCA+ 2045 (NTNB Princ)</v>
      </c>
      <c r="B7">
        <f>VLOOKUP(A7,Plan4!A29:D59,4,0)</f>
        <v>637.21</v>
      </c>
    </row>
    <row r="8" spans="1:2" x14ac:dyDescent="0.25">
      <c r="A8" t="str">
        <f>Plan4!A11</f>
        <v>Tesouro IPCA+ com Juros Semestrais 2026 (NTNB)</v>
      </c>
      <c r="B8">
        <f>VLOOKUP(A8,Plan4!A30:D60,4,0)</f>
        <v>3100.14</v>
      </c>
    </row>
    <row r="9" spans="1:2" x14ac:dyDescent="0.25">
      <c r="A9" t="str">
        <f>Plan4!A12</f>
        <v>Tesouro IPCA+ com Juros Semestrais 2035 (NTNB)</v>
      </c>
      <c r="B9">
        <f>VLOOKUP(A9,Plan4!A31:D61,4,0)</f>
        <v>3106.34</v>
      </c>
    </row>
    <row r="10" spans="1:2" x14ac:dyDescent="0.25">
      <c r="A10" t="str">
        <f>Plan4!A13</f>
        <v>Tesouro IPCA+ com Juros Semestrais 2050 (NTNB)</v>
      </c>
      <c r="B10">
        <f>VLOOKUP(A10,Plan4!A32:D62,4,0)</f>
        <v>3188.87</v>
      </c>
    </row>
    <row r="11" spans="1:2" x14ac:dyDescent="0.25">
      <c r="A11" t="str">
        <f>Plan4!A14</f>
        <v>Prefixados</v>
      </c>
      <c r="B11">
        <f>VLOOKUP(A11,Plan4!A33:D63,4,0)</f>
        <v>0</v>
      </c>
    </row>
    <row r="12" spans="1:2" x14ac:dyDescent="0.25">
      <c r="A12" t="str">
        <f>Plan4!A15</f>
        <v>Tesouro Prefixado 2020 (LTN)</v>
      </c>
      <c r="B12">
        <f>VLOOKUP(A12,Plan4!A34:D64,4,0)</f>
        <v>775.48</v>
      </c>
    </row>
    <row r="13" spans="1:2" x14ac:dyDescent="0.25">
      <c r="A13" t="str">
        <f>Plan4!A16</f>
        <v>Tesouro Prefixado 2023 (LTN)</v>
      </c>
      <c r="B13">
        <f>VLOOKUP(A13,Plan4!A35:D65,4,0)</f>
        <v>554.99</v>
      </c>
    </row>
    <row r="14" spans="1:2" x14ac:dyDescent="0.25">
      <c r="A14" t="str">
        <f>Plan4!A17</f>
        <v>Tesouro Prefixado com Juros Semestrais 2027 (NTNF)</v>
      </c>
      <c r="B14">
        <f>VLOOKUP(A14,Plan4!A36:D66,4,0)</f>
        <v>986.59</v>
      </c>
    </row>
    <row r="15" spans="1:2" x14ac:dyDescent="0.25">
      <c r="A15" t="str">
        <f>Plan4!A18</f>
        <v>Indexados à Taxa Selic</v>
      </c>
      <c r="B15">
        <f>VLOOKUP(A15,Plan4!A37:D67,4,0)</f>
        <v>0</v>
      </c>
    </row>
    <row r="16" spans="1:2" x14ac:dyDescent="0.25">
      <c r="A16" t="str">
        <f>Plan4!A19</f>
        <v>Tesouro Selic 2023 (LFT)</v>
      </c>
      <c r="B16">
        <f>VLOOKUP(A16,Plan4!A24:D54,4,0)</f>
        <v>8792.06</v>
      </c>
    </row>
    <row r="17" spans="1:2" x14ac:dyDescent="0.25">
      <c r="A17" t="str">
        <f>Plan4!A27</f>
        <v>Indexados ao IPCA</v>
      </c>
      <c r="B17">
        <f>VLOOKUP(A17,Plan4!A25:D55,4,0)</f>
        <v>0</v>
      </c>
    </row>
    <row r="18" spans="1:2" x14ac:dyDescent="0.25">
      <c r="A18" t="str">
        <f>Plan4!A28</f>
        <v>Tesouro IPCA+ 2019 (NTNB Princ)</v>
      </c>
      <c r="B18">
        <f>VLOOKUP(A18,Plan4!A26:D56,4,0)</f>
        <v>2714.8</v>
      </c>
    </row>
    <row r="19" spans="1:2" x14ac:dyDescent="0.25">
      <c r="A19" t="str">
        <f>Plan4!A29</f>
        <v>Tesouro IPCA+ 2024 (NTNB Princ)</v>
      </c>
      <c r="B19">
        <f>VLOOKUP(A19,Plan4!A27:D57,4,0)</f>
        <v>2017.62</v>
      </c>
    </row>
    <row r="20" spans="1:2" x14ac:dyDescent="0.25">
      <c r="A20" t="str">
        <f>Plan4!A30</f>
        <v>Tesouro IPCA+ 2035 (NTNB Princ)</v>
      </c>
      <c r="B20">
        <f>VLOOKUP(A20,Plan4!A28:D58,4,0)</f>
        <v>1108.5999999999999</v>
      </c>
    </row>
    <row r="21" spans="1:2" x14ac:dyDescent="0.25">
      <c r="A21" t="str">
        <f>Plan4!A31</f>
        <v>Tesouro IPCA+ 2045 (NTNB Princ)</v>
      </c>
      <c r="B21">
        <f>VLOOKUP(A21,Plan4!A29:D59,4,0)</f>
        <v>637.21</v>
      </c>
    </row>
    <row r="22" spans="1:2" x14ac:dyDescent="0.25">
      <c r="A22" t="str">
        <f>Plan4!A32</f>
        <v>Tesouro IPCA+ com Juros Semestrais 2020 (NTNB)</v>
      </c>
      <c r="B22">
        <f>VLOOKUP(A22,Plan4!A30:D60,4,0)</f>
        <v>3090.52</v>
      </c>
    </row>
    <row r="23" spans="1:2" x14ac:dyDescent="0.25">
      <c r="A23" t="str">
        <f>Plan4!A33</f>
        <v>Tesouro IPCA+ com Juros Semestrais 2024 (NTNB)</v>
      </c>
      <c r="B23">
        <f>VLOOKUP(A23,Plan4!A31:D61,4,0)</f>
        <v>3108.77</v>
      </c>
    </row>
    <row r="24" spans="1:2" x14ac:dyDescent="0.25">
      <c r="A24" t="str">
        <f>Plan4!A34</f>
        <v>Tesouro IPCA+ com Juros Semestrais 2026 (NTNB)</v>
      </c>
      <c r="B24">
        <f>VLOOKUP(A24,Plan4!A32:D62,4,0)</f>
        <v>3100.14</v>
      </c>
    </row>
    <row r="25" spans="1:2" x14ac:dyDescent="0.25">
      <c r="A25" t="str">
        <f>Plan4!A35</f>
        <v>Tesouro IPCA+ com Juros Semestrais 2035 (NTNB)</v>
      </c>
      <c r="B25">
        <f>VLOOKUP(A25,Plan4!A33:D63,4,0)</f>
        <v>3106.34</v>
      </c>
    </row>
    <row r="26" spans="1:2" x14ac:dyDescent="0.25">
      <c r="A26" t="str">
        <f>Plan4!A36</f>
        <v>Tesouro IPCA+ com Juros Semestrais 2045 (NTNB)</v>
      </c>
      <c r="B26">
        <f>VLOOKUP(A26,Plan4!A34:D64,4,0)</f>
        <v>3119.45</v>
      </c>
    </row>
    <row r="27" spans="1:2" x14ac:dyDescent="0.25">
      <c r="A27" t="str">
        <f>Plan4!A37</f>
        <v>Tesouro IPCA+ com Juros Semestrais 2050 (NTNB)</v>
      </c>
      <c r="B27">
        <f>VLOOKUP(A27,Plan4!A35:D65,4,0)</f>
        <v>3188.87</v>
      </c>
    </row>
    <row r="28" spans="1:2" x14ac:dyDescent="0.25">
      <c r="A28" t="str">
        <f>Plan4!A38</f>
        <v>Prefixados</v>
      </c>
      <c r="B28">
        <f>VLOOKUP(A28,Plan4!A36:D66,4,0)</f>
        <v>0</v>
      </c>
    </row>
    <row r="29" spans="1:2" x14ac:dyDescent="0.25">
      <c r="A29" t="str">
        <f>Plan4!A39</f>
        <v>Tesouro Prefixado 2018 (LTN)</v>
      </c>
      <c r="B29">
        <f>VLOOKUP(A29,Plan4!A37:D67,4,0)</f>
        <v>946.89</v>
      </c>
    </row>
    <row r="30" spans="1:2" x14ac:dyDescent="0.25">
      <c r="A30" t="str">
        <f>Plan4!A40</f>
        <v>Tesouro Prefixado 2019 (LTN)</v>
      </c>
      <c r="B30">
        <f>VLOOKUP(A30,Plan4!A38:D68,4,0)</f>
        <v>862.96</v>
      </c>
    </row>
    <row r="31" spans="1:2" x14ac:dyDescent="0.25">
      <c r="A31" t="str">
        <f>Plan4!A41</f>
        <v>Tesouro Prefixado 2020 (LTN)</v>
      </c>
      <c r="B31">
        <f>VLOOKUP(A31,Plan4!A39:D69,4,0)</f>
        <v>775.48</v>
      </c>
    </row>
    <row r="32" spans="1:2" x14ac:dyDescent="0.25">
      <c r="A32" t="str">
        <f>Plan4!A42</f>
        <v>Tesouro Prefixado 2021 (LTN)</v>
      </c>
      <c r="B32">
        <f>VLOOKUP(A32,Plan4!A40:D70,4,0)</f>
        <v>693.08</v>
      </c>
    </row>
    <row r="33" spans="1:2" x14ac:dyDescent="0.25">
      <c r="A33" t="str">
        <f>Plan4!A43</f>
        <v>Tesouro Prefixado 2023 (LTN)</v>
      </c>
      <c r="B33">
        <f>VLOOKUP(A33,Plan4!A41:D71,4,0)</f>
        <v>554.99</v>
      </c>
    </row>
    <row r="34" spans="1:2" x14ac:dyDescent="0.25">
      <c r="A34" t="str">
        <f>Plan4!A44</f>
        <v>Tesouro Prefixado com Juros Semestrais 2021 (NTNF)</v>
      </c>
      <c r="B34">
        <f>VLOOKUP(A34,Plan4!A42:D72,4,0)</f>
        <v>1022.75</v>
      </c>
    </row>
    <row r="35" spans="1:2" x14ac:dyDescent="0.25">
      <c r="A35" t="str">
        <f>Plan4!A45</f>
        <v>Tesouro Prefixado com Juros Semestrais 2023 (NTNF)</v>
      </c>
      <c r="B35">
        <f>VLOOKUP(A35,Plan4!A43:D73,4,0)</f>
        <v>1005.61</v>
      </c>
    </row>
    <row r="36" spans="1:2" x14ac:dyDescent="0.25">
      <c r="A36" t="str">
        <f>Plan4!A46</f>
        <v>Tesouro Prefixado com Juros Semestrais 2025 (NTNF)</v>
      </c>
      <c r="B36">
        <f>VLOOKUP(A36,Plan4!A44:D74,4,0)</f>
        <v>994.23</v>
      </c>
    </row>
    <row r="37" spans="1:2" x14ac:dyDescent="0.25">
      <c r="A37" t="str">
        <f>Plan4!A47</f>
        <v>Tesouro Prefixado com Juros Semestrais 2027 (NTNF)</v>
      </c>
      <c r="B37">
        <f>VLOOKUP(A37,Plan4!A45:D75,4,0)</f>
        <v>986.59</v>
      </c>
    </row>
    <row r="38" spans="1:2" x14ac:dyDescent="0.25">
      <c r="A38" t="str">
        <f>Plan4!A48</f>
        <v>Indexados à Taxa Selic</v>
      </c>
      <c r="B38">
        <f>VLOOKUP(A38,Plan4!A46:D76,4,0)</f>
        <v>0</v>
      </c>
    </row>
    <row r="39" spans="1:2" x14ac:dyDescent="0.25">
      <c r="A39" t="str">
        <f>Plan4!A49</f>
        <v>Tesouro Selic 2021 (LFT)</v>
      </c>
      <c r="B39">
        <f>VLOOKUP(A39,Plan4!A47:D77,4,0)</f>
        <v>8807.8799999999992</v>
      </c>
    </row>
    <row r="40" spans="1:2" x14ac:dyDescent="0.25">
      <c r="A40" t="str">
        <f>Plan4!A50</f>
        <v>Tesouro Selic 2023 (LFT)</v>
      </c>
      <c r="B40">
        <f>VLOOKUP(A40,Plan4!A48:D78,4,0)</f>
        <v>8792.06</v>
      </c>
    </row>
    <row r="41" spans="1:2" x14ac:dyDescent="0.25">
      <c r="A41" t="str">
        <f>Plan4!A51</f>
        <v>Indexados ao IGP-M</v>
      </c>
      <c r="B41">
        <f>VLOOKUP(A41,Plan4!A49:D79,4,0)</f>
        <v>0</v>
      </c>
    </row>
    <row r="42" spans="1:2" x14ac:dyDescent="0.25">
      <c r="A42" t="str">
        <f>Plan4!A52</f>
        <v>Tesouro IGPM+ com Juros Semestrais 2017 (NTNC)</v>
      </c>
      <c r="B42">
        <f>VLOOKUP(A42,Plan4!A50:D80,4,0)</f>
        <v>3641.32</v>
      </c>
    </row>
    <row r="43" spans="1:2" x14ac:dyDescent="0.25">
      <c r="A43" t="str">
        <f>Plan4!A53</f>
        <v>Tesouro IGPM+ com Juros Semestrais 2021 (NTNC)</v>
      </c>
      <c r="B43">
        <f>VLOOKUP(A43,Plan4!A51:D81,4,0)</f>
        <v>3639.02</v>
      </c>
    </row>
    <row r="44" spans="1:2" x14ac:dyDescent="0.25">
      <c r="A44" t="e">
        <f>Plan4!#REF!</f>
        <v>#REF!</v>
      </c>
      <c r="B44" t="e">
        <f>VLOOKUP(A44,Plan4!A52:D82,4,0)</f>
        <v>#REF!</v>
      </c>
    </row>
    <row r="45" spans="1:2" x14ac:dyDescent="0.25">
      <c r="A45" t="str">
        <f>Plan4!A54</f>
        <v>Tesouro IGPM+ com Juros Semestrais 2031 (NTNC)</v>
      </c>
      <c r="B45">
        <f>VLOOKUP(A45,Plan4!A53:D83,4,0)</f>
        <v>5771.44</v>
      </c>
    </row>
    <row r="46" spans="1:2" x14ac:dyDescent="0.25">
      <c r="A46">
        <f>Plan4!A55</f>
        <v>0</v>
      </c>
      <c r="B46" t="e">
        <f>VLOOKUP(A46,Plan4!A54:D84,4,0)</f>
        <v>#N/A</v>
      </c>
    </row>
    <row r="47" spans="1:2" x14ac:dyDescent="0.25">
      <c r="A47">
        <f>Plan4!A56</f>
        <v>0</v>
      </c>
      <c r="B47" t="e">
        <f>VLOOKUP(A47,Plan4!A54:D85,4,0)</f>
        <v>#N/A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8</vt:i4>
      </vt:variant>
    </vt:vector>
  </HeadingPairs>
  <TitlesOfParts>
    <vt:vector size="16" baseType="lpstr">
      <vt:lpstr>RTD</vt:lpstr>
      <vt:lpstr>Posição de Custódia</vt:lpstr>
      <vt:lpstr>Relatórios</vt:lpstr>
      <vt:lpstr>Acompanhamento de mercado</vt:lpstr>
      <vt:lpstr>Plan3</vt:lpstr>
      <vt:lpstr>IR Day Trade</vt:lpstr>
      <vt:lpstr>Plan4</vt:lpstr>
      <vt:lpstr>Plan5</vt:lpstr>
      <vt:lpstr>compra</vt:lpstr>
      <vt:lpstr>Data</vt:lpstr>
      <vt:lpstr>'Acompanhamento de mercado'!lista</vt:lpstr>
      <vt:lpstr>Lista</vt:lpstr>
      <vt:lpstr>Plan4!tesouro_direto_precos_e_taxas_dos_titulos</vt:lpstr>
      <vt:lpstr>Titulo</vt:lpstr>
      <vt:lpstr>Título</vt:lpstr>
      <vt:lpstr>Trader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Dantas Oliveira</dc:creator>
  <cp:lastModifiedBy>Ivanildo Junior</cp:lastModifiedBy>
  <dcterms:created xsi:type="dcterms:W3CDTF">2016-06-08T21:53:30Z</dcterms:created>
  <dcterms:modified xsi:type="dcterms:W3CDTF">2019-03-23T01:49:24Z</dcterms:modified>
</cp:coreProperties>
</file>