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wbk"/>
  <mc:AlternateContent xmlns:mc="http://schemas.openxmlformats.org/markup-compatibility/2006">
    <mc:Choice Requires="x15">
      <x15ac:absPath xmlns:x15ac="http://schemas.microsoft.com/office/spreadsheetml/2010/11/ac" url="https://d.docs.live.net/309c97073307406c/BackupNoteDell3542/Documents/13 STO ONOFRE/BPA 2017 (NOVO CONTROLES)/BPA 2017 (NOVO CONTROLE)/"/>
    </mc:Choice>
  </mc:AlternateContent>
  <xr:revisionPtr revIDLastSave="2" documentId="11_EF19872A66545F297FEC59F77B1F22E909DD4BA6" xr6:coauthVersionLast="47" xr6:coauthVersionMax="47" xr10:uidLastSave="{BE5FB9C6-04F0-4112-946E-AE9C423B554C}"/>
  <bookViews>
    <workbookView showHorizontalScroll="0" showVerticalScroll="0" showSheetTabs="0" xWindow="-110" yWindow="-110" windowWidth="19420" windowHeight="10560" firstSheet="1" activeTab="1" xr2:uid="{00000000-000D-0000-FFFF-FFFF00000000}"/>
  </bookViews>
  <sheets>
    <sheet name="RELATÓRIO" sheetId="6" state="hidden" r:id="rId1"/>
    <sheet name="Apoio" sheetId="9" r:id="rId2"/>
    <sheet name="DIGITAÇÃO" sheetId="1" r:id="rId3"/>
    <sheet name="LISTA_PROCED" sheetId="2" r:id="rId4"/>
  </sheets>
  <definedNames>
    <definedName name="_xlnm._FilterDatabase" localSheetId="2" hidden="1">DIGITAÇÃO!#REF!</definedName>
    <definedName name="NOME_DO_PROCEDIMENTO">LISTA_PROCED!#REF!</definedName>
    <definedName name="PROFISSIONAL">LISTA_PROCED!$A$2:$A$25</definedName>
    <definedName name="TIPO_CONSULTA">LISTA_PROCED[PROFISSIONAL]</definedName>
    <definedName name="_xlnm.Print_Titles" localSheetId="2">DIGITAÇÃO!#REF!,DIGITAÇÃO!$6:$6</definedName>
    <definedName name="_xlnm.Print_Titles" localSheetId="0">RELATÓRIO!$A:$C,RELATÓRIO!$1:$5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1" l="1"/>
  <c r="E16" i="1" s="1"/>
  <c r="G16" i="1"/>
  <c r="H16" i="1"/>
  <c r="I16" i="1"/>
  <c r="D15" i="1"/>
  <c r="E15" i="1" s="1"/>
  <c r="G15" i="1"/>
  <c r="H15" i="1"/>
  <c r="I15" i="1"/>
  <c r="D14" i="1"/>
  <c r="E14" i="1" s="1"/>
  <c r="G14" i="1"/>
  <c r="H14" i="1"/>
  <c r="I14" i="1"/>
  <c r="D13" i="1"/>
  <c r="E13" i="1" s="1"/>
  <c r="G13" i="1"/>
  <c r="H13" i="1"/>
  <c r="I13" i="1"/>
  <c r="D12" i="1"/>
  <c r="E12" i="1" s="1"/>
  <c r="G12" i="1"/>
  <c r="H12" i="1"/>
  <c r="I12" i="1"/>
  <c r="D11" i="1"/>
  <c r="E11" i="1" s="1"/>
  <c r="G11" i="1"/>
  <c r="H11" i="1"/>
  <c r="I11" i="1"/>
  <c r="D10" i="1"/>
  <c r="E10" i="1" s="1"/>
  <c r="G10" i="1"/>
  <c r="H10" i="1"/>
  <c r="I10" i="1"/>
  <c r="D9" i="1"/>
  <c r="E9" i="1" s="1"/>
  <c r="G9" i="1"/>
  <c r="H9" i="1"/>
  <c r="I9" i="1"/>
  <c r="D8" i="1"/>
  <c r="E8" i="1" s="1"/>
  <c r="G8" i="1"/>
  <c r="H8" i="1"/>
  <c r="I8" i="1"/>
  <c r="D7" i="1"/>
  <c r="E7" i="1" s="1"/>
  <c r="G7" i="1"/>
  <c r="H7" i="1"/>
  <c r="I7" i="1"/>
  <c r="F16" i="1" l="1"/>
  <c r="F15" i="1"/>
  <c r="F14" i="1"/>
  <c r="F13" i="1"/>
  <c r="F12" i="1"/>
  <c r="F11" i="1"/>
  <c r="F10" i="1"/>
  <c r="F9" i="1"/>
  <c r="F8" i="1"/>
  <c r="F7" i="1"/>
  <c r="D6" i="1"/>
  <c r="E6" i="1" s="1"/>
  <c r="F6" i="1" l="1"/>
  <c r="I6" i="1"/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H6" i="1" l="1"/>
  <c r="G6" i="1"/>
</calcChain>
</file>

<file path=xl/sharedStrings.xml><?xml version="1.0" encoding="utf-8"?>
<sst xmlns="http://schemas.openxmlformats.org/spreadsheetml/2006/main" count="61" uniqueCount="41">
  <si>
    <t>CÓD. DO PROCED.</t>
  </si>
  <si>
    <t>Nº DE CBO</t>
  </si>
  <si>
    <t>IDADE</t>
  </si>
  <si>
    <t>ENFERMAGEM</t>
  </si>
  <si>
    <t>ENFERMAGEM PACS</t>
  </si>
  <si>
    <t>PRÉ NATAL ENFERMAGEM</t>
  </si>
  <si>
    <t>PRÉ NATAL ENFERMAGEM PACS</t>
  </si>
  <si>
    <t>PUERPÉRIO ENFERMAGEM</t>
  </si>
  <si>
    <t>PUERPÉRIO ENFERMAGEM PACS</t>
  </si>
  <si>
    <t>PUERICULTURA ENFERMAGEM</t>
  </si>
  <si>
    <t>PUERICULTURA ENFERMAGEM PACS</t>
  </si>
  <si>
    <t xml:space="preserve">PSIQUIATRIA </t>
  </si>
  <si>
    <t>FONO</t>
  </si>
  <si>
    <t>PSICOLOGIA</t>
  </si>
  <si>
    <t>PEDIATRIA</t>
  </si>
  <si>
    <t>PUERICULTURA PEDIATRIA</t>
  </si>
  <si>
    <t>GINECOLOGIA</t>
  </si>
  <si>
    <t>PUERPÉRIO GO</t>
  </si>
  <si>
    <t>PRÉ NATAL</t>
  </si>
  <si>
    <t>CLÍNICO</t>
  </si>
  <si>
    <t>NUTRIÇÃO</t>
  </si>
  <si>
    <t>NEURO</t>
  </si>
  <si>
    <t>ODONTOLOGIA</t>
  </si>
  <si>
    <t>TOTAL DE ATENDIMENTOS</t>
  </si>
  <si>
    <t>PROFISSIONAL</t>
  </si>
  <si>
    <t>DATA DE NASC.</t>
  </si>
  <si>
    <t>CBO</t>
  </si>
  <si>
    <t>IDADES</t>
  </si>
  <si>
    <t>M.E.S.F. GO, CL, PED</t>
  </si>
  <si>
    <t>M.E.S.F. PRÉ NATAL</t>
  </si>
  <si>
    <t>M.E.S.F. PUERICULTURA</t>
  </si>
  <si>
    <t>M.E.S.F. PUERPÉRIO</t>
  </si>
  <si>
    <t>DATA INICIAL</t>
  </si>
  <si>
    <t>DATA FINAL</t>
  </si>
  <si>
    <t>ANO</t>
  </si>
  <si>
    <t>MÊS</t>
  </si>
  <si>
    <t>TIPO DE CONSULTA</t>
  </si>
  <si>
    <t>CÓDIGO</t>
  </si>
  <si>
    <t>Contagem de IDADE</t>
  </si>
  <si>
    <t>TOTAL</t>
  </si>
  <si>
    <t>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</si>
</sst>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0\/00\/0000"/>
    <numFmt numFmtId="165" formatCode="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5" fontId="0" fillId="0" borderId="0" xfId="0" applyNumberFormat="1" applyAlignment="1">
      <alignment horizontal="center" vertical="center"/>
    </xf>
    <xf numFmtId="0" fontId="0" fillId="2" borderId="0" xfId="0" applyFill="1"/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</cellXfs>
  <cellStyles count="1">
    <cellStyle name="Normal" xfId="0" builtinId="0"/>
  </cellStyles>
  <dxfs count="59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000000000"/>
      <alignment horizontal="center" vertical="center" textRotation="0" wrapText="0" indent="0" justifyLastLine="0" shrinkToFit="0" readingOrder="0"/>
    </dxf>
    <dxf>
      <numFmt numFmtId="165" formatCode="0000000000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165" formatCode="000000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164" formatCode="00\/00\/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9" formatCode="m/d/yyyy"/>
      <alignment horizontal="center" vertical="center" textRotation="0" wrapText="0" indent="0" justifyLastLine="0" shrinkToFit="0" readingOrder="0"/>
    </dxf>
    <dxf>
      <numFmt numFmtId="164" formatCode="00\/00\/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64" formatCode="00\/00\/0000"/>
      <alignment horizontal="center" vertical="center" textRotation="0" wrapText="0" indent="0" justifyLastLine="0" shrinkToFit="0" readingOrder="0"/>
    </dxf>
    <dxf>
      <numFmt numFmtId="164" formatCode="00\/00\/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64" formatCode="00\/00\/0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top style="thin">
          <color theme="8" tint="0.39997558519241921"/>
        </top>
        <bottom style="thin">
          <color theme="8" tint="0.39997558519241921"/>
        </bottom>
      </border>
    </dxf>
    <dxf>
      <font>
        <b/>
        <color theme="1"/>
      </font>
      <border>
        <bottom style="thin">
          <color theme="8" tint="0.79998168889431442"/>
        </bottom>
      </border>
    </dxf>
    <dxf>
      <border>
        <left style="thin">
          <color theme="8" tint="0.79998168889431442"/>
        </left>
        <right style="thin">
          <color theme="8" tint="0.79998168889431442"/>
        </right>
      </border>
    </dxf>
    <dxf>
      <fill>
        <patternFill patternType="solid">
          <fgColor theme="8" tint="0.39997558519241921"/>
          <bgColor theme="8" tint="0.39997558519241921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bottom style="thin">
          <color theme="8"/>
        </bottom>
        <horizontal style="thin">
          <color theme="8" tint="-0.499984740745262"/>
        </horizontal>
      </border>
    </dxf>
    <dxf>
      <font>
        <color theme="1"/>
      </font>
      <fill>
        <patternFill patternType="solid">
          <fgColor theme="8" tint="0.59999389629810485"/>
          <bgColor theme="8" tint="0.59999389629810485"/>
        </patternFill>
      </fill>
      <border>
        <horizontal style="thin">
          <color theme="8" tint="0.79998168889431442"/>
        </horizontal>
      </border>
    </dxf>
    <dxf>
      <fill>
        <patternFill patternType="solid">
          <fgColor theme="8" tint="0.59999389629810485"/>
          <bgColor theme="8" tint="0.59999389629810485"/>
        </patternFill>
      </fill>
    </dxf>
    <dxf>
      <fill>
        <patternFill patternType="solid">
          <fgColor theme="8" tint="0.59999389629810485"/>
          <bgColor theme="8" tint="0.59999389629810485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8"/>
          <bgColor rgb="FF002060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8" tint="0.79998168889431442"/>
          <bgColor theme="8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2" defaultTableStyle="TableStyleMedium2" defaultPivotStyle="PivotStyleLight16">
    <tableStyle name="MINHA_TABELA" pivot="0" count="7" xr9:uid="{00000000-0011-0000-FFFF-FFFF00000000}">
      <tableStyleElement type="wholeTable" dxfId="58"/>
      <tableStyleElement type="headerRow" dxfId="57"/>
      <tableStyleElement type="totalRow" dxfId="56"/>
      <tableStyleElement type="firstColumn" dxfId="55"/>
      <tableStyleElement type="lastColumn" dxfId="54"/>
      <tableStyleElement type="firstRowStripe" dxfId="53"/>
      <tableStyleElement type="firstColumnStripe" dxfId="52"/>
    </tableStyle>
    <tableStyle name="TBL_DIN_CUSTOM" table="0" count="10" xr9:uid="{00000000-0011-0000-FFFF-FFFF01000000}">
      <tableStyleElement type="wholeTable" dxfId="51"/>
      <tableStyleElement type="headerRow" dxfId="50"/>
      <tableStyleElement type="totalRow" dxfId="49"/>
      <tableStyleElement type="secondRowStripe" dxfId="48"/>
      <tableStyleElement type="secondColumnStripe" dxfId="47"/>
      <tableStyleElement type="firstSubtotalRow" dxfId="46"/>
      <tableStyleElement type="firstRowSubheading" dxfId="45"/>
      <tableStyleElement type="secondRowSubheading" dxfId="44"/>
      <tableStyleElement type="pageFieldLabels" dxfId="43"/>
      <tableStyleElement type="pageFieldValues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192231</xdr:colOff>
      <xdr:row>0</xdr:row>
      <xdr:rowOff>133350</xdr:rowOff>
    </xdr:from>
    <xdr:to>
      <xdr:col>0</xdr:col>
      <xdr:colOff>1714500</xdr:colOff>
      <xdr:row>3</xdr:row>
      <xdr:rowOff>28576</xdr:rowOff>
    </xdr:to>
    <xdr:sp macro="[0]!PrintSheet" textlink="">
      <xdr:nvSpPr>
        <xdr:cNvPr id="5" name="Retângulo Arredondado 1" descr="EXTRAIR CASOS">
          <a:extLst>
            <a:ext uri="{FF2B5EF4-FFF2-40B4-BE49-F238E27FC236}">
              <a16:creationId xmlns:a16="http://schemas.microsoft.com/office/drawing/2014/main" id="{19DA8A70-0588-4E92-8AA3-72E26657CD3E}"/>
            </a:ext>
          </a:extLst>
        </xdr:cNvPr>
        <xdr:cNvSpPr/>
      </xdr:nvSpPr>
      <xdr:spPr>
        <a:xfrm>
          <a:off x="192231" y="133350"/>
          <a:ext cx="1522269" cy="466726"/>
        </a:xfrm>
        <a:prstGeom prst="roundRect">
          <a:avLst/>
        </a:prstGeom>
        <a:gradFill flip="none" rotWithShape="1">
          <a:gsLst>
            <a:gs pos="100000">
              <a:schemeClr val="accent5">
                <a:lumMod val="50000"/>
              </a:schemeClr>
            </a:gs>
            <a:gs pos="100000">
              <a:schemeClr val="bg1"/>
            </a:gs>
          </a:gsLst>
          <a:path path="rect">
            <a:fillToRect l="100000" t="100000"/>
          </a:path>
          <a:tileRect r="-100000" b="-100000"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Trebuchet MS" panose="020B0603020202020204" pitchFamily="34" charset="0"/>
            </a:rPr>
            <a:t>IMPRIMIR</a:t>
          </a:r>
          <a:r>
            <a:rPr lang="pt-BR" sz="900" b="1" baseline="0">
              <a:latin typeface="Trebuchet MS" panose="020B0603020202020204" pitchFamily="34" charset="0"/>
            </a:rPr>
            <a:t> RELATÓRIO</a:t>
          </a:r>
          <a:endParaRPr lang="pt-BR" sz="900" b="1">
            <a:latin typeface="Trebuchet MS" panose="020B0603020202020204" pitchFamily="34" charset="0"/>
          </a:endParaRPr>
        </a:p>
      </xdr:txBody>
    </xdr:sp>
    <xdr:clientData/>
  </xdr:twoCellAnchor>
  <xdr:twoCellAnchor editAs="absolute">
    <xdr:from>
      <xdr:col>0</xdr:col>
      <xdr:colOff>1948296</xdr:colOff>
      <xdr:row>0</xdr:row>
      <xdr:rowOff>129886</xdr:rowOff>
    </xdr:from>
    <xdr:to>
      <xdr:col>2</xdr:col>
      <xdr:colOff>335974</xdr:colOff>
      <xdr:row>3</xdr:row>
      <xdr:rowOff>25112</xdr:rowOff>
    </xdr:to>
    <xdr:sp macro="[0]!ChamarForm" textlink="">
      <xdr:nvSpPr>
        <xdr:cNvPr id="3" name="Retângulo Arredondado 1" descr="EXTRAIR CASOS">
          <a:extLst>
            <a:ext uri="{FF2B5EF4-FFF2-40B4-BE49-F238E27FC236}">
              <a16:creationId xmlns:a16="http://schemas.microsoft.com/office/drawing/2014/main" id="{ADEDE54B-849A-47AF-8FE0-7D0B9EC40542}"/>
            </a:ext>
          </a:extLst>
        </xdr:cNvPr>
        <xdr:cNvSpPr/>
      </xdr:nvSpPr>
      <xdr:spPr>
        <a:xfrm>
          <a:off x="1948296" y="129886"/>
          <a:ext cx="1522269" cy="466726"/>
        </a:xfrm>
        <a:prstGeom prst="roundRect">
          <a:avLst/>
        </a:prstGeom>
        <a:gradFill flip="none" rotWithShape="1">
          <a:gsLst>
            <a:gs pos="100000">
              <a:schemeClr val="accent5">
                <a:lumMod val="50000"/>
              </a:schemeClr>
            </a:gs>
            <a:gs pos="100000">
              <a:schemeClr val="bg1"/>
            </a:gs>
          </a:gsLst>
          <a:path path="rect">
            <a:fillToRect l="100000" t="100000"/>
          </a:path>
          <a:tileRect r="-100000" b="-100000"/>
        </a:gradFill>
        <a:ln w="25400" cmpd="sng">
          <a:solidFill>
            <a:schemeClr val="tx1"/>
          </a:solidFill>
        </a:ln>
        <a:effectLst>
          <a:glow rad="63500">
            <a:schemeClr val="tx1">
              <a:alpha val="40000"/>
            </a:schemeClr>
          </a:glow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Trebuchet MS" panose="020B0603020202020204" pitchFamily="34" charset="0"/>
            </a:rPr>
            <a:t>LANÇAR CONSULTAS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ildo Junior" refreshedDate="42997.905649768516" createdVersion="6" refreshedVersion="6" minRefreshableVersion="3" recordCount="11" xr:uid="{AA94A7DA-4A26-4460-92FC-5CFD020220BE}">
  <cacheSource type="worksheet">
    <worksheetSource name="DIGITAÇÃO"/>
  </cacheSource>
  <cacheFields count="9">
    <cacheField name="PROFISSIONAL" numFmtId="0">
      <sharedItems count="10">
        <s v="CLÍNICO"/>
        <s v="GINECOLOGIA"/>
        <s v="ENFERMAGEM"/>
        <s v="NEURO" u="1"/>
        <s v="PRÉ NATAL ENFERMAGEM PACS" u="1"/>
        <s v="PSIQUIATRIA " u="1"/>
        <s v="PEDIATRIA" u="1"/>
        <s v="PSICOLOGIA" u="1"/>
        <s v="M.E.S.F. PUERICULTURA" u="1"/>
        <s v="ENFERMAGEM PACS" u="1"/>
      </sharedItems>
    </cacheField>
    <cacheField name="DATA DE NASC." numFmtId="164">
      <sharedItems containsSemiMixedTypes="0" containsString="0" containsNumber="1" containsInteger="1" minValue="6061996" maxValue="25061993"/>
    </cacheField>
    <cacheField name="DATA INICIAL" numFmtId="164">
      <sharedItems containsSemiMixedTypes="0" containsString="0" containsNumber="1" containsInteger="1" minValue="21082017" maxValue="21082017"/>
    </cacheField>
    <cacheField name="DATA FINAL" numFmtId="14">
      <sharedItems containsSemiMixedTypes="0" containsNonDate="0" containsDate="1" containsString="0" minDate="2017-09-20T00:00:00" maxDate="2017-09-21T00:00:00"/>
    </cacheField>
    <cacheField name="ANO" numFmtId="0">
      <sharedItems containsSemiMixedTypes="0" containsString="0" containsNumber="1" containsInteger="1" minValue="2016" maxValue="2017" count="2">
        <n v="2017"/>
        <n v="2016" u="1"/>
      </sharedItems>
    </cacheField>
    <cacheField name="MÊS" numFmtId="0">
      <sharedItems count="1">
        <s v="Setembro"/>
      </sharedItems>
    </cacheField>
    <cacheField name="IDADE" numFmtId="0">
      <sharedItems containsSemiMixedTypes="0" containsString="0" containsNumber="1" containsInteger="1" minValue="20" maxValue="70" count="28">
        <n v="36"/>
        <n v="62"/>
        <n v="21"/>
        <n v="20"/>
        <n v="24"/>
        <n v="60"/>
        <n v="70"/>
        <n v="30"/>
        <n v="34" u="1"/>
        <n v="38" u="1"/>
        <n v="40" u="1"/>
        <n v="42" u="1"/>
        <n v="44" u="1"/>
        <n v="46" u="1"/>
        <n v="48" u="1"/>
        <n v="50" u="1"/>
        <n v="52" u="1"/>
        <n v="33" u="1"/>
        <n v="35" u="1"/>
        <n v="22" u="1"/>
        <n v="37" u="1"/>
        <n v="39" u="1"/>
        <n v="41" u="1"/>
        <n v="43" u="1"/>
        <n v="45" u="1"/>
        <n v="47" u="1"/>
        <n v="49" u="1"/>
        <n v="51" u="1"/>
      </sharedItems>
    </cacheField>
    <cacheField name="CÓD. DO PROCED." numFmtId="0">
      <sharedItems containsSemiMixedTypes="0" containsString="0" containsNumber="1" containsInteger="1" minValue="301010030" maxValue="301010110" count="6">
        <n v="301010064"/>
        <n v="301010030"/>
        <n v="301010072" u="1"/>
        <n v="301010110" u="1"/>
        <n v="301010080" u="1"/>
        <n v="301010048" u="1"/>
      </sharedItems>
    </cacheField>
    <cacheField name="Nº DE CBO" numFmtId="0">
      <sharedItems containsSemiMixedTypes="0" containsString="0" containsNumber="1" containsInteger="1" minValue="223505" maxValue="251510" count="9">
        <n v="225125"/>
        <n v="225250"/>
        <n v="223505"/>
        <n v="225142" u="1"/>
        <n v="251510" u="1"/>
        <n v="225124" u="1"/>
        <n v="225133" u="1"/>
        <n v="223565" u="1"/>
        <n v="2251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n v="18081981"/>
    <n v="21082017"/>
    <d v="2017-09-20T00:00:00"/>
    <x v="0"/>
    <x v="0"/>
    <x v="0"/>
    <x v="0"/>
    <x v="0"/>
  </r>
  <r>
    <x v="0"/>
    <n v="15051955"/>
    <n v="21082017"/>
    <d v="2017-09-20T00:00:00"/>
    <x v="0"/>
    <x v="0"/>
    <x v="1"/>
    <x v="0"/>
    <x v="0"/>
  </r>
  <r>
    <x v="0"/>
    <n v="16061996"/>
    <n v="21082017"/>
    <d v="2017-09-20T00:00:00"/>
    <x v="0"/>
    <x v="0"/>
    <x v="2"/>
    <x v="0"/>
    <x v="0"/>
  </r>
  <r>
    <x v="0"/>
    <n v="7071997"/>
    <n v="21082017"/>
    <d v="2017-09-20T00:00:00"/>
    <x v="0"/>
    <x v="0"/>
    <x v="3"/>
    <x v="0"/>
    <x v="0"/>
  </r>
  <r>
    <x v="1"/>
    <n v="15051955"/>
    <n v="21082017"/>
    <d v="2017-09-20T00:00:00"/>
    <x v="0"/>
    <x v="0"/>
    <x v="1"/>
    <x v="0"/>
    <x v="1"/>
  </r>
  <r>
    <x v="1"/>
    <n v="25061993"/>
    <n v="21082017"/>
    <d v="2017-09-20T00:00:00"/>
    <x v="0"/>
    <x v="0"/>
    <x v="4"/>
    <x v="0"/>
    <x v="1"/>
  </r>
  <r>
    <x v="1"/>
    <n v="19091957"/>
    <n v="21082017"/>
    <d v="2017-09-20T00:00:00"/>
    <x v="0"/>
    <x v="0"/>
    <x v="5"/>
    <x v="0"/>
    <x v="1"/>
  </r>
  <r>
    <x v="1"/>
    <n v="15081947"/>
    <n v="21082017"/>
    <d v="2017-09-20T00:00:00"/>
    <x v="0"/>
    <x v="0"/>
    <x v="6"/>
    <x v="0"/>
    <x v="1"/>
  </r>
  <r>
    <x v="2"/>
    <n v="6061996"/>
    <n v="21082017"/>
    <d v="2017-09-20T00:00:00"/>
    <x v="0"/>
    <x v="0"/>
    <x v="2"/>
    <x v="1"/>
    <x v="2"/>
  </r>
  <r>
    <x v="2"/>
    <n v="15041987"/>
    <n v="21082017"/>
    <d v="2017-09-20T00:00:00"/>
    <x v="0"/>
    <x v="0"/>
    <x v="7"/>
    <x v="1"/>
    <x v="2"/>
  </r>
  <r>
    <x v="2"/>
    <n v="23041955"/>
    <n v="21082017"/>
    <d v="2017-09-20T00:00:00"/>
    <x v="0"/>
    <x v="0"/>
    <x v="1"/>
    <x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CFC722-13A1-454E-A540-E101E2F6A7F1}" name="dyn_bpa" cacheId="0" applyNumberFormats="0" applyBorderFormats="0" applyFontFormats="0" applyPatternFormats="0" applyAlignmentFormats="0" applyWidthHeightFormats="1" dataCaption="Valores" grandTotalCaption="TOTAL" missingCaption="0" updatedVersion="6" minRefreshableVersion="3" showDrill="0" showDataTips="0" useAutoFormatting="1" fieldPrintTitles="1" createdVersion="6" indent="0" outline="1" outlineData="1" multipleFieldFilters="0" rowHeaderCaption="TIPO DE CONSULTA" colHeaderCaption="IDADES">
  <location ref="A4:L9" firstHeaderRow="1" firstDataRow="2" firstDataCol="3" rowPageCount="2" colPageCount="1"/>
  <pivotFields count="9">
    <pivotField axis="axisRow" outline="0" subtotalTop="0" showAll="0" defaultSubtotal="0">
      <items count="10">
        <item x="0"/>
        <item x="2"/>
        <item m="1" x="3"/>
        <item m="1" x="9"/>
        <item m="1" x="8"/>
        <item m="1" x="6"/>
        <item m="1" x="5"/>
        <item m="1" x="4"/>
        <item m="1" x="7"/>
        <item x="1"/>
      </items>
    </pivotField>
    <pivotField numFmtId="164" subtotalTop="0" showAll="0"/>
    <pivotField numFmtId="164" subtotalTop="0" showAll="0"/>
    <pivotField subtotalTop="0" showAll="0"/>
    <pivotField axis="axisPage" subtotalTop="0" showAll="0">
      <items count="3">
        <item m="1" x="1"/>
        <item x="0"/>
        <item t="default"/>
      </items>
    </pivotField>
    <pivotField axis="axisPage" subtotalTop="0" showAll="0">
      <items count="2">
        <item x="0"/>
        <item t="default"/>
      </items>
    </pivotField>
    <pivotField axis="axisCol" dataField="1" subtotalTop="0" showAll="0" sortType="ascending">
      <items count="29">
        <item x="3"/>
        <item x="2"/>
        <item m="1" x="19"/>
        <item x="4"/>
        <item x="7"/>
        <item m="1" x="17"/>
        <item m="1" x="8"/>
        <item m="1" x="18"/>
        <item x="0"/>
        <item m="1" x="20"/>
        <item m="1" x="9"/>
        <item m="1" x="21"/>
        <item m="1" x="10"/>
        <item m="1" x="22"/>
        <item m="1" x="11"/>
        <item m="1" x="23"/>
        <item m="1" x="12"/>
        <item m="1" x="24"/>
        <item m="1" x="13"/>
        <item m="1" x="25"/>
        <item m="1" x="14"/>
        <item m="1" x="26"/>
        <item m="1" x="15"/>
        <item m="1" x="27"/>
        <item m="1" x="16"/>
        <item x="5"/>
        <item x="1"/>
        <item x="6"/>
        <item t="default"/>
      </items>
    </pivotField>
    <pivotField name="CÓDIGO" axis="axisRow" numFmtId="165" outline="0" subtotalTop="0" showAll="0" defaultSubtotal="0">
      <items count="6">
        <item x="1"/>
        <item x="0"/>
        <item m="1" x="2"/>
        <item m="1" x="4"/>
        <item m="1" x="3"/>
        <item m="1" x="5"/>
      </items>
    </pivotField>
    <pivotField name="CBO" axis="axisRow" outline="0" subtotalTop="0" showAll="0" defaultSubtotal="0">
      <items count="9">
        <item x="2"/>
        <item m="1" x="8"/>
        <item x="0"/>
        <item m="1" x="7"/>
        <item m="1" x="3"/>
        <item m="1" x="5"/>
        <item m="1" x="6"/>
        <item m="1" x="4"/>
        <item x="1"/>
      </items>
    </pivotField>
  </pivotFields>
  <rowFields count="3">
    <field x="0"/>
    <field x="7"/>
    <field x="8"/>
  </rowFields>
  <rowItems count="4">
    <i>
      <x/>
      <x v="1"/>
      <x v="2"/>
    </i>
    <i>
      <x v="1"/>
      <x/>
      <x/>
    </i>
    <i>
      <x v="9"/>
      <x v="1"/>
      <x v="8"/>
    </i>
    <i t="grand">
      <x/>
    </i>
  </rowItems>
  <colFields count="1">
    <field x="6"/>
  </colFields>
  <colItems count="9">
    <i>
      <x/>
    </i>
    <i>
      <x v="1"/>
    </i>
    <i>
      <x v="3"/>
    </i>
    <i>
      <x v="4"/>
    </i>
    <i>
      <x v="8"/>
    </i>
    <i>
      <x v="25"/>
    </i>
    <i>
      <x v="26"/>
    </i>
    <i>
      <x v="27"/>
    </i>
    <i t="grand">
      <x/>
    </i>
  </colItems>
  <pageFields count="2">
    <pageField fld="4" item="1" hier="-1"/>
    <pageField fld="5" item="0" hier="-1"/>
  </pageFields>
  <dataFields count="1">
    <dataField name="Contagem de IDADE" fld="6" subtotal="count" baseField="8" baseItem="2"/>
  </dataFields>
  <formats count="11">
    <format dxfId="41">
      <pivotArea type="all" dataOnly="0" outline="0" fieldPosition="0"/>
    </format>
    <format dxfId="40">
      <pivotArea field="0" type="button" dataOnly="0" labelOnly="1" outline="0" axis="axisRow" fieldPosition="0"/>
    </format>
    <format dxfId="39">
      <pivotArea field="7" type="button" dataOnly="0" labelOnly="1" outline="0" axis="axisRow" fieldPosition="1"/>
    </format>
    <format dxfId="38">
      <pivotArea field="8" type="button" dataOnly="0" labelOnly="1" outline="0" axis="axisRow" fieldPosition="2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fieldPosition="0">
        <references count="2">
          <reference field="0" count="1" selected="0">
            <x v="0"/>
          </reference>
          <reference field="7" count="1">
            <x v="1"/>
          </reference>
        </references>
      </pivotArea>
    </format>
    <format dxfId="35">
      <pivotArea dataOnly="0" labelOnly="1" fieldPosition="0">
        <references count="2">
          <reference field="0" count="1" selected="0">
            <x v="1"/>
          </reference>
          <reference field="7" count="1">
            <x v="0"/>
          </reference>
        </references>
      </pivotArea>
    </format>
    <format dxfId="34">
      <pivotArea dataOnly="0" labelOnly="1" fieldPosition="0">
        <references count="2">
          <reference field="0" count="1" selected="0">
            <x v="2"/>
          </reference>
          <reference field="7" count="1">
            <x v="2"/>
          </reference>
        </references>
      </pivotArea>
    </format>
    <format dxfId="33">
      <pivotArea dataOnly="0" labelOnly="1" fieldPosition="0">
        <references count="3">
          <reference field="0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2">
      <pivotArea dataOnly="0" labelOnly="1" fieldPosition="0">
        <references count="3">
          <reference field="0" count="1" selected="0">
            <x v="1"/>
          </reference>
          <reference field="7" count="1" selected="0">
            <x v="0"/>
          </reference>
          <reference field="8" count="1">
            <x v="0"/>
          </reference>
        </references>
      </pivotArea>
    </format>
    <format dxfId="31">
      <pivotArea dataOnly="0" labelOnly="1" fieldPosition="0">
        <references count="3">
          <reference field="0" count="1" selected="0">
            <x v="2"/>
          </reference>
          <reference field="7" count="1" selected="0">
            <x v="2"/>
          </reference>
          <reference field="8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GITAÇÃO" displayName="DIGITAÇÃO" ref="A5:I16" headerRowDxfId="30" dataDxfId="29" totalsRowDxfId="28">
  <tableColumns count="9">
    <tableColumn id="11" xr3:uid="{4A900F30-F9E5-473E-B619-511DBA2875F6}" name="PROFISSIONAL" dataDxfId="27" totalsRowDxfId="26"/>
    <tableColumn id="10" xr3:uid="{B431E24C-09B7-4D83-A289-E2256A00E8CB}" name="DATA DE NASC." dataDxfId="25" totalsRowDxfId="24"/>
    <tableColumn id="3" xr3:uid="{288398BE-11CF-4D0F-AF0B-60986555575C}" name="DATA INICIAL" totalsRowFunction="custom" dataDxfId="23" totalsRowDxfId="22">
      <totalsRowFormula array="1">"2108" &amp; ROW(INDIRECT("1964:2016"))</totalsRowFormula>
    </tableColumn>
    <tableColumn id="2" xr3:uid="{9B0B29BF-BEC9-4585-AE9A-4EA79E2FAAC9}" name="DATA FINAL" dataDxfId="21" totalsRowDxfId="20">
      <calculatedColumnFormula>IF(DIGITAÇÃO[[#This Row],[DATA INICIAL]]="","",TEXT(DIGITAÇÃO[[#This Row],[DATA INICIAL]],"00\/00\/0000")+30)</calculatedColumnFormula>
    </tableColumn>
    <tableColumn id="6" xr3:uid="{7329DF67-1302-4EA7-8A63-798B047A3070}" name="ANO" dataDxfId="19" totalsRowDxfId="18">
      <calculatedColumnFormula>IF(DIGITAÇÃO[[#This Row],[DATA FINAL]]="","",YEAR(DIGITAÇÃO[[#This Row],[DATA FINAL]]))</calculatedColumnFormula>
    </tableColumn>
    <tableColumn id="7" xr3:uid="{ACECB035-ADF6-4051-B21A-12348783B2E8}" name="MÊS" dataDxfId="17" totalsRowDxfId="16">
      <calculatedColumnFormula>PROPER(TEXT(DIGITAÇÃO[[#This Row],[DATA FINAL]],"mmmm"))</calculatedColumnFormula>
    </tableColumn>
    <tableColumn id="9" xr3:uid="{9BD2A0CE-6850-440F-8605-08954A56AB86}" name="IDADE" dataDxfId="15" totalsRowDxfId="14">
      <calculatedColumnFormula>IF(DIGITAÇÃO[[#This Row],[DATA DE NASC.]]="","",INT(( TODAY() - TEXT(DIGITAÇÃO[[#This Row],[DATA DE NASC.]],"00\/00\/0000")) /365.25))</calculatedColumnFormula>
    </tableColumn>
    <tableColumn id="4" xr3:uid="{00000000-0010-0000-0000-000004000000}" name="CÓD. DO PROCED." dataDxfId="13" totalsRowDxfId="12">
      <calculatedColumnFormula>IF(DIGITAÇÃO[[#This Row],[PROFISSIONAL]]="","",VLOOKUP(DIGITAÇÃO[[#This Row],[PROFISSIONAL]],LISTA_PROCED[],2,0))</calculatedColumnFormula>
    </tableColumn>
    <tableColumn id="5" xr3:uid="{00000000-0010-0000-0000-000005000000}" name="Nº DE CBO" dataDxfId="11" totalsRowDxfId="10">
      <calculatedColumnFormula>IF(DIGITAÇÃO[[#This Row],[PROFISSIONAL]]="","", VLOOKUP(DIGITAÇÃO[[#This Row],[PROFISSIONAL]],LISTA_PROCED[],3,0))</calculatedColumnFormula>
    </tableColumn>
  </tableColumns>
  <tableStyleInfo name="MINHA_TABEL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LISTA_PROCED" displayName="LISTA_PROCED" ref="A1:D25" totalsRowShown="0" headerRowDxfId="9" dataDxfId="8">
  <sortState xmlns:xlrd2="http://schemas.microsoft.com/office/spreadsheetml/2017/richdata2" ref="A2:D25">
    <sortCondition ref="A1:A25"/>
  </sortState>
  <tableColumns count="4">
    <tableColumn id="1" xr3:uid="{00000000-0010-0000-0100-000001000000}" name="PROFISSIONAL" dataDxfId="7" totalsRowDxfId="6"/>
    <tableColumn id="2" xr3:uid="{00000000-0010-0000-0100-000002000000}" name="CÓD. DO PROCED." dataDxfId="5" totalsRowDxfId="4"/>
    <tableColumn id="3" xr3:uid="{00000000-0010-0000-0100-000003000000}" name="Nº DE CBO" dataDxfId="3" totalsRowDxfId="2"/>
    <tableColumn id="4" xr3:uid="{00000000-0010-0000-0100-000004000000}" name="TOTAL DE ATENDIMENTOS" dataDxfId="1" totalsRowDxfId="0">
      <calculatedColumnFormula>COUNTIF(DIGITAÇÃO[PROFISSIONAL],LISTA_PROCED[[#This Row],[PROFISSIONAL]])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6DC6-674F-4077-A9FF-EE6054E79CA5}">
  <sheetPr codeName="shDyn"/>
  <dimension ref="A1:L9"/>
  <sheetViews>
    <sheetView showGridLines="0" workbookViewId="0">
      <selection activeCell="D5" sqref="D5"/>
    </sheetView>
  </sheetViews>
  <sheetFormatPr defaultRowHeight="14.5" x14ac:dyDescent="0.35"/>
  <cols>
    <col min="1" max="1" width="22.7265625" bestFit="1" customWidth="1"/>
    <col min="2" max="2" width="14.26953125" bestFit="1" customWidth="1"/>
    <col min="3" max="3" width="9.26953125" bestFit="1" customWidth="1"/>
    <col min="4" max="4" width="12" bestFit="1" customWidth="1"/>
    <col min="5" max="11" width="3" bestFit="1" customWidth="1"/>
    <col min="12" max="12" width="6.54296875" bestFit="1" customWidth="1"/>
    <col min="13" max="24" width="3" bestFit="1" customWidth="1"/>
    <col min="25" max="25" width="6.54296875" bestFit="1" customWidth="1"/>
  </cols>
  <sheetData>
    <row r="1" spans="1:12" x14ac:dyDescent="0.35">
      <c r="A1" s="7" t="s">
        <v>34</v>
      </c>
      <c r="B1" s="8">
        <v>2017</v>
      </c>
    </row>
    <row r="2" spans="1:12" x14ac:dyDescent="0.35">
      <c r="A2" s="7" t="s">
        <v>35</v>
      </c>
      <c r="B2" s="8" t="s">
        <v>40</v>
      </c>
    </row>
    <row r="4" spans="1:12" x14ac:dyDescent="0.35">
      <c r="A4" s="7" t="s">
        <v>38</v>
      </c>
      <c r="B4" s="8"/>
      <c r="C4" s="8"/>
      <c r="D4" s="7" t="s">
        <v>27</v>
      </c>
      <c r="E4" s="8"/>
      <c r="F4" s="8"/>
      <c r="G4" s="8"/>
      <c r="H4" s="8"/>
      <c r="I4" s="8"/>
      <c r="J4" s="8"/>
      <c r="K4" s="8"/>
      <c r="L4" s="8"/>
    </row>
    <row r="5" spans="1:12" x14ac:dyDescent="0.35">
      <c r="A5" s="7" t="s">
        <v>36</v>
      </c>
      <c r="B5" s="7" t="s">
        <v>37</v>
      </c>
      <c r="C5" s="7" t="s">
        <v>26</v>
      </c>
      <c r="D5" s="8">
        <v>20</v>
      </c>
      <c r="E5" s="8">
        <v>21</v>
      </c>
      <c r="F5" s="8">
        <v>24</v>
      </c>
      <c r="G5" s="8">
        <v>30</v>
      </c>
      <c r="H5" s="8">
        <v>36</v>
      </c>
      <c r="I5" s="8">
        <v>60</v>
      </c>
      <c r="J5" s="8">
        <v>62</v>
      </c>
      <c r="K5" s="8">
        <v>70</v>
      </c>
      <c r="L5" s="8" t="s">
        <v>39</v>
      </c>
    </row>
    <row r="6" spans="1:12" x14ac:dyDescent="0.35">
      <c r="A6" s="8" t="s">
        <v>19</v>
      </c>
      <c r="B6" s="9">
        <v>301010064</v>
      </c>
      <c r="C6" s="8">
        <v>225125</v>
      </c>
      <c r="D6" s="10">
        <v>1</v>
      </c>
      <c r="E6" s="10">
        <v>1</v>
      </c>
      <c r="F6" s="10">
        <v>0</v>
      </c>
      <c r="G6" s="10">
        <v>0</v>
      </c>
      <c r="H6" s="10">
        <v>1</v>
      </c>
      <c r="I6" s="10">
        <v>0</v>
      </c>
      <c r="J6" s="10">
        <v>1</v>
      </c>
      <c r="K6" s="10">
        <v>0</v>
      </c>
      <c r="L6" s="10">
        <v>4</v>
      </c>
    </row>
    <row r="7" spans="1:12" x14ac:dyDescent="0.35">
      <c r="A7" s="8" t="s">
        <v>3</v>
      </c>
      <c r="B7" s="9">
        <v>301010030</v>
      </c>
      <c r="C7" s="8">
        <v>223505</v>
      </c>
      <c r="D7" s="10">
        <v>0</v>
      </c>
      <c r="E7" s="10">
        <v>1</v>
      </c>
      <c r="F7" s="10">
        <v>0</v>
      </c>
      <c r="G7" s="10">
        <v>1</v>
      </c>
      <c r="H7" s="10">
        <v>0</v>
      </c>
      <c r="I7" s="10">
        <v>0</v>
      </c>
      <c r="J7" s="10">
        <v>1</v>
      </c>
      <c r="K7" s="10">
        <v>0</v>
      </c>
      <c r="L7" s="10">
        <v>3</v>
      </c>
    </row>
    <row r="8" spans="1:12" x14ac:dyDescent="0.35">
      <c r="A8" s="8" t="s">
        <v>16</v>
      </c>
      <c r="B8" s="9">
        <v>301010064</v>
      </c>
      <c r="C8" s="8">
        <v>225250</v>
      </c>
      <c r="D8" s="10">
        <v>0</v>
      </c>
      <c r="E8" s="10">
        <v>0</v>
      </c>
      <c r="F8" s="10">
        <v>1</v>
      </c>
      <c r="G8" s="10">
        <v>0</v>
      </c>
      <c r="H8" s="10">
        <v>0</v>
      </c>
      <c r="I8" s="10">
        <v>1</v>
      </c>
      <c r="J8" s="10">
        <v>1</v>
      </c>
      <c r="K8" s="10">
        <v>1</v>
      </c>
      <c r="L8" s="10">
        <v>4</v>
      </c>
    </row>
    <row r="9" spans="1:12" x14ac:dyDescent="0.35">
      <c r="A9" s="8" t="s">
        <v>39</v>
      </c>
      <c r="B9" s="8"/>
      <c r="C9" s="8"/>
      <c r="D9" s="10">
        <v>1</v>
      </c>
      <c r="E9" s="10">
        <v>2</v>
      </c>
      <c r="F9" s="10">
        <v>1</v>
      </c>
      <c r="G9" s="10">
        <v>1</v>
      </c>
      <c r="H9" s="10">
        <v>1</v>
      </c>
      <c r="I9" s="10">
        <v>1</v>
      </c>
      <c r="J9" s="10">
        <v>3</v>
      </c>
      <c r="K9" s="10">
        <v>1</v>
      </c>
      <c r="L9" s="10">
        <v>11</v>
      </c>
    </row>
  </sheetData>
  <dataConsolidate/>
  <printOptions horizontalCentered="1"/>
  <pageMargins left="0.51181102362204722" right="0.51181102362204722" top="0.78740157480314965" bottom="0.78740157480314965" header="0.31496062992125984" footer="0.31496062992125984"/>
  <pageSetup paperSize="9" orientation="landscape" r:id="rId2"/>
  <headerFooter>
    <oddHeader>&amp;L&amp;"Segoe UI,Normal"Página &amp;P de &amp;N&amp;C&amp;"Segoe UI,Normal"BPA Consultas Consolidado&amp;R&amp;"Segoe UI,Normal"&amp;D - &amp;T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238F-5A70-4C63-8D18-EBECC7A70AD1}">
  <sheetPr codeName="shApoio"/>
  <dimension ref="A1"/>
  <sheetViews>
    <sheetView showGridLines="0" showRowColHeaders="0" tabSelected="1" workbookViewId="0"/>
  </sheetViews>
  <sheetFormatPr defaultColWidth="9.1796875" defaultRowHeight="14.5" x14ac:dyDescent="0.35"/>
  <cols>
    <col min="1" max="16384" width="9.1796875" style="6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dos">
    <tabColor theme="8" tint="-0.499984740745262"/>
    <pageSetUpPr fitToPage="1"/>
  </sheetPr>
  <dimension ref="A5:I19"/>
  <sheetViews>
    <sheetView showGridLines="0" zoomScale="110" zoomScaleNormal="110" zoomScaleSheetLayoutView="100" workbookViewId="0">
      <pane ySplit="5" topLeftCell="A6" activePane="bottomLeft" state="frozen"/>
      <selection pane="bottomLeft" activeCell="A5" sqref="A5"/>
    </sheetView>
  </sheetViews>
  <sheetFormatPr defaultColWidth="9.1796875" defaultRowHeight="14.5" x14ac:dyDescent="0.35"/>
  <cols>
    <col min="1" max="1" width="32.453125" style="12" customWidth="1"/>
    <col min="2" max="2" width="14.54296875" style="12" bestFit="1" customWidth="1"/>
    <col min="3" max="3" width="14.54296875" style="12" customWidth="1"/>
    <col min="4" max="4" width="22.1796875" style="12" customWidth="1"/>
    <col min="5" max="5" width="22" style="12" customWidth="1"/>
    <col min="6" max="6" width="16.81640625" style="12" bestFit="1" customWidth="1"/>
    <col min="7" max="7" width="10.26953125" style="12" bestFit="1" customWidth="1"/>
    <col min="8" max="8" width="16.81640625" style="12" bestFit="1" customWidth="1"/>
    <col min="9" max="11" width="12.1796875" style="12" bestFit="1" customWidth="1"/>
    <col min="12" max="12" width="12.54296875" style="12" bestFit="1" customWidth="1"/>
    <col min="13" max="13" width="12.7265625" style="12" bestFit="1" customWidth="1"/>
    <col min="14" max="16384" width="9.1796875" style="12"/>
  </cols>
  <sheetData>
    <row r="5" spans="1:9" x14ac:dyDescent="0.35">
      <c r="A5" s="11" t="s">
        <v>24</v>
      </c>
      <c r="B5" s="11" t="s">
        <v>25</v>
      </c>
      <c r="C5" s="11" t="s">
        <v>32</v>
      </c>
      <c r="D5" s="11" t="s">
        <v>33</v>
      </c>
      <c r="E5" s="11" t="s">
        <v>34</v>
      </c>
      <c r="F5" s="11" t="s">
        <v>35</v>
      </c>
      <c r="G5" s="11" t="s">
        <v>2</v>
      </c>
      <c r="H5" s="11" t="s">
        <v>0</v>
      </c>
      <c r="I5" s="11" t="s">
        <v>1</v>
      </c>
    </row>
    <row r="6" spans="1:9" x14ac:dyDescent="0.35">
      <c r="A6" s="11" t="s">
        <v>19</v>
      </c>
      <c r="B6" s="13">
        <v>18081981</v>
      </c>
      <c r="C6" s="13">
        <v>21082017</v>
      </c>
      <c r="D6" s="14">
        <f>IF(DIGITAÇÃO[[#This Row],[DATA INICIAL]]="","",TEXT(DIGITAÇÃO[[#This Row],[DATA INICIAL]],"00\/00\/0000")+30)</f>
        <v>42998</v>
      </c>
      <c r="E6" s="11">
        <f>IF(DIGITAÇÃO[[#This Row],[DATA FINAL]]="","",YEAR(DIGITAÇÃO[[#This Row],[DATA FINAL]]))</f>
        <v>2017</v>
      </c>
      <c r="F6" s="11" t="str">
        <f>PROPER(TEXT(DIGITAÇÃO[[#This Row],[DATA FINAL]],"mmmm"))</f>
        <v>Setembro</v>
      </c>
      <c r="G6" s="11">
        <f ca="1">IF(DIGITAÇÃO[[#This Row],[DATA DE NASC.]]="","",INT(( TODAY() - TEXT(DIGITAÇÃO[[#This Row],[DATA DE NASC.]],"00\/00\/0000")) /365.25))</f>
        <v>40</v>
      </c>
      <c r="H6" s="11">
        <f>IF(DIGITAÇÃO[[#This Row],[PROFISSIONAL]]="","",VLOOKUP(DIGITAÇÃO[[#This Row],[PROFISSIONAL]],LISTA_PROCED[],2,0))</f>
        <v>301010064</v>
      </c>
      <c r="I6" s="11">
        <f>IF(DIGITAÇÃO[[#This Row],[PROFISSIONAL]]="","", VLOOKUP(DIGITAÇÃO[[#This Row],[PROFISSIONAL]],LISTA_PROCED[],3,0))</f>
        <v>225125</v>
      </c>
    </row>
    <row r="7" spans="1:9" x14ac:dyDescent="0.35">
      <c r="A7" s="11" t="s">
        <v>19</v>
      </c>
      <c r="B7" s="13">
        <v>15051955</v>
      </c>
      <c r="C7" s="13">
        <v>21082017</v>
      </c>
      <c r="D7" s="14">
        <f>IF(DIGITAÇÃO[[#This Row],[DATA INICIAL]]="","",TEXT(DIGITAÇÃO[[#This Row],[DATA INICIAL]],"00\/00\/0000")+30)</f>
        <v>42998</v>
      </c>
      <c r="E7" s="11">
        <f>IF(DIGITAÇÃO[[#This Row],[DATA FINAL]]="","",YEAR(DIGITAÇÃO[[#This Row],[DATA FINAL]]))</f>
        <v>2017</v>
      </c>
      <c r="F7" s="11" t="str">
        <f>PROPER(TEXT(DIGITAÇÃO[[#This Row],[DATA FINAL]],"mmmm"))</f>
        <v>Setembro</v>
      </c>
      <c r="G7" s="11">
        <f ca="1">IF(DIGITAÇÃO[[#This Row],[DATA DE NASC.]]="","",INT(( TODAY() - TEXT(DIGITAÇÃO[[#This Row],[DATA DE NASC.]],"00\/00\/0000")) /365.25))</f>
        <v>66</v>
      </c>
      <c r="H7" s="11">
        <f>IF(DIGITAÇÃO[[#This Row],[PROFISSIONAL]]="","",VLOOKUP(DIGITAÇÃO[[#This Row],[PROFISSIONAL]],LISTA_PROCED[],2,0))</f>
        <v>301010064</v>
      </c>
      <c r="I7" s="11">
        <f>IF(DIGITAÇÃO[[#This Row],[PROFISSIONAL]]="","", VLOOKUP(DIGITAÇÃO[[#This Row],[PROFISSIONAL]],LISTA_PROCED[],3,0))</f>
        <v>225125</v>
      </c>
    </row>
    <row r="8" spans="1:9" x14ac:dyDescent="0.35">
      <c r="A8" s="11" t="s">
        <v>19</v>
      </c>
      <c r="B8" s="13">
        <v>16061996</v>
      </c>
      <c r="C8" s="13">
        <v>21082017</v>
      </c>
      <c r="D8" s="14">
        <f>IF(DIGITAÇÃO[[#This Row],[DATA INICIAL]]="","",TEXT(DIGITAÇÃO[[#This Row],[DATA INICIAL]],"00\/00\/0000")+30)</f>
        <v>42998</v>
      </c>
      <c r="E8" s="11">
        <f>IF(DIGITAÇÃO[[#This Row],[DATA FINAL]]="","",YEAR(DIGITAÇÃO[[#This Row],[DATA FINAL]]))</f>
        <v>2017</v>
      </c>
      <c r="F8" s="11" t="str">
        <f>PROPER(TEXT(DIGITAÇÃO[[#This Row],[DATA FINAL]],"mmmm"))</f>
        <v>Setembro</v>
      </c>
      <c r="G8" s="11">
        <f ca="1">IF(DIGITAÇÃO[[#This Row],[DATA DE NASC.]]="","",INT(( TODAY() - TEXT(DIGITAÇÃO[[#This Row],[DATA DE NASC.]],"00\/00\/0000")) /365.25))</f>
        <v>25</v>
      </c>
      <c r="H8" s="11">
        <f>IF(DIGITAÇÃO[[#This Row],[PROFISSIONAL]]="","",VLOOKUP(DIGITAÇÃO[[#This Row],[PROFISSIONAL]],LISTA_PROCED[],2,0))</f>
        <v>301010064</v>
      </c>
      <c r="I8" s="11">
        <f>IF(DIGITAÇÃO[[#This Row],[PROFISSIONAL]]="","", VLOOKUP(DIGITAÇÃO[[#This Row],[PROFISSIONAL]],LISTA_PROCED[],3,0))</f>
        <v>225125</v>
      </c>
    </row>
    <row r="9" spans="1:9" x14ac:dyDescent="0.35">
      <c r="A9" s="11" t="s">
        <v>19</v>
      </c>
      <c r="B9" s="13">
        <v>7071997</v>
      </c>
      <c r="C9" s="13">
        <v>21082017</v>
      </c>
      <c r="D9" s="14">
        <f>IF(DIGITAÇÃO[[#This Row],[DATA INICIAL]]="","",TEXT(DIGITAÇÃO[[#This Row],[DATA INICIAL]],"00\/00\/0000")+30)</f>
        <v>42998</v>
      </c>
      <c r="E9" s="11">
        <f>IF(DIGITAÇÃO[[#This Row],[DATA FINAL]]="","",YEAR(DIGITAÇÃO[[#This Row],[DATA FINAL]]))</f>
        <v>2017</v>
      </c>
      <c r="F9" s="11" t="str">
        <f>PROPER(TEXT(DIGITAÇÃO[[#This Row],[DATA FINAL]],"mmmm"))</f>
        <v>Setembro</v>
      </c>
      <c r="G9" s="11">
        <f ca="1">IF(DIGITAÇÃO[[#This Row],[DATA DE NASC.]]="","",INT(( TODAY() - TEXT(DIGITAÇÃO[[#This Row],[DATA DE NASC.]],"00\/00\/0000")) /365.25))</f>
        <v>24</v>
      </c>
      <c r="H9" s="11">
        <f>IF(DIGITAÇÃO[[#This Row],[PROFISSIONAL]]="","",VLOOKUP(DIGITAÇÃO[[#This Row],[PROFISSIONAL]],LISTA_PROCED[],2,0))</f>
        <v>301010064</v>
      </c>
      <c r="I9" s="11">
        <f>IF(DIGITAÇÃO[[#This Row],[PROFISSIONAL]]="","", VLOOKUP(DIGITAÇÃO[[#This Row],[PROFISSIONAL]],LISTA_PROCED[],3,0))</f>
        <v>225125</v>
      </c>
    </row>
    <row r="10" spans="1:9" x14ac:dyDescent="0.35">
      <c r="A10" s="11" t="s">
        <v>16</v>
      </c>
      <c r="B10" s="13">
        <v>15051955</v>
      </c>
      <c r="C10" s="13">
        <v>21082017</v>
      </c>
      <c r="D10" s="14">
        <f>IF(DIGITAÇÃO[[#This Row],[DATA INICIAL]]="","",TEXT(DIGITAÇÃO[[#This Row],[DATA INICIAL]],"00\/00\/0000")+30)</f>
        <v>42998</v>
      </c>
      <c r="E10" s="11">
        <f>IF(DIGITAÇÃO[[#This Row],[DATA FINAL]]="","",YEAR(DIGITAÇÃO[[#This Row],[DATA FINAL]]))</f>
        <v>2017</v>
      </c>
      <c r="F10" s="11" t="str">
        <f>PROPER(TEXT(DIGITAÇÃO[[#This Row],[DATA FINAL]],"mmmm"))</f>
        <v>Setembro</v>
      </c>
      <c r="G10" s="11">
        <f ca="1">IF(DIGITAÇÃO[[#This Row],[DATA DE NASC.]]="","",INT(( TODAY() - TEXT(DIGITAÇÃO[[#This Row],[DATA DE NASC.]],"00\/00\/0000")) /365.25))</f>
        <v>66</v>
      </c>
      <c r="H10" s="11">
        <f>IF(DIGITAÇÃO[[#This Row],[PROFISSIONAL]]="","",VLOOKUP(DIGITAÇÃO[[#This Row],[PROFISSIONAL]],LISTA_PROCED[],2,0))</f>
        <v>301010064</v>
      </c>
      <c r="I10" s="11">
        <f>IF(DIGITAÇÃO[[#This Row],[PROFISSIONAL]]="","", VLOOKUP(DIGITAÇÃO[[#This Row],[PROFISSIONAL]],LISTA_PROCED[],3,0))</f>
        <v>225250</v>
      </c>
    </row>
    <row r="11" spans="1:9" x14ac:dyDescent="0.35">
      <c r="A11" s="11" t="s">
        <v>16</v>
      </c>
      <c r="B11" s="13">
        <v>25061993</v>
      </c>
      <c r="C11" s="13">
        <v>21082017</v>
      </c>
      <c r="D11" s="14">
        <f>IF(DIGITAÇÃO[[#This Row],[DATA INICIAL]]="","",TEXT(DIGITAÇÃO[[#This Row],[DATA INICIAL]],"00\/00\/0000")+30)</f>
        <v>42998</v>
      </c>
      <c r="E11" s="11">
        <f>IF(DIGITAÇÃO[[#This Row],[DATA FINAL]]="","",YEAR(DIGITAÇÃO[[#This Row],[DATA FINAL]]))</f>
        <v>2017</v>
      </c>
      <c r="F11" s="11" t="str">
        <f>PROPER(TEXT(DIGITAÇÃO[[#This Row],[DATA FINAL]],"mmmm"))</f>
        <v>Setembro</v>
      </c>
      <c r="G11" s="11">
        <f ca="1">IF(DIGITAÇÃO[[#This Row],[DATA DE NASC.]]="","",INT(( TODAY() - TEXT(DIGITAÇÃO[[#This Row],[DATA DE NASC.]],"00\/00\/0000")) /365.25))</f>
        <v>28</v>
      </c>
      <c r="H11" s="11">
        <f>IF(DIGITAÇÃO[[#This Row],[PROFISSIONAL]]="","",VLOOKUP(DIGITAÇÃO[[#This Row],[PROFISSIONAL]],LISTA_PROCED[],2,0))</f>
        <v>301010064</v>
      </c>
      <c r="I11" s="11">
        <f>IF(DIGITAÇÃO[[#This Row],[PROFISSIONAL]]="","", VLOOKUP(DIGITAÇÃO[[#This Row],[PROFISSIONAL]],LISTA_PROCED[],3,0))</f>
        <v>225250</v>
      </c>
    </row>
    <row r="12" spans="1:9" x14ac:dyDescent="0.35">
      <c r="A12" s="11" t="s">
        <v>16</v>
      </c>
      <c r="B12" s="13">
        <v>19091957</v>
      </c>
      <c r="C12" s="13">
        <v>21082017</v>
      </c>
      <c r="D12" s="14">
        <f>IF(DIGITAÇÃO[[#This Row],[DATA INICIAL]]="","",TEXT(DIGITAÇÃO[[#This Row],[DATA INICIAL]],"00\/00\/0000")+30)</f>
        <v>42998</v>
      </c>
      <c r="E12" s="11">
        <f>IF(DIGITAÇÃO[[#This Row],[DATA FINAL]]="","",YEAR(DIGITAÇÃO[[#This Row],[DATA FINAL]]))</f>
        <v>2017</v>
      </c>
      <c r="F12" s="11" t="str">
        <f>PROPER(TEXT(DIGITAÇÃO[[#This Row],[DATA FINAL]],"mmmm"))</f>
        <v>Setembro</v>
      </c>
      <c r="G12" s="11">
        <f ca="1">IF(DIGITAÇÃO[[#This Row],[DATA DE NASC.]]="","",INT(( TODAY() - TEXT(DIGITAÇÃO[[#This Row],[DATA DE NASC.]],"00\/00\/0000")) /365.25))</f>
        <v>64</v>
      </c>
      <c r="H12" s="11">
        <f>IF(DIGITAÇÃO[[#This Row],[PROFISSIONAL]]="","",VLOOKUP(DIGITAÇÃO[[#This Row],[PROFISSIONAL]],LISTA_PROCED[],2,0))</f>
        <v>301010064</v>
      </c>
      <c r="I12" s="11">
        <f>IF(DIGITAÇÃO[[#This Row],[PROFISSIONAL]]="","", VLOOKUP(DIGITAÇÃO[[#This Row],[PROFISSIONAL]],LISTA_PROCED[],3,0))</f>
        <v>225250</v>
      </c>
    </row>
    <row r="13" spans="1:9" x14ac:dyDescent="0.35">
      <c r="A13" s="11" t="s">
        <v>16</v>
      </c>
      <c r="B13" s="13">
        <v>15081947</v>
      </c>
      <c r="C13" s="13">
        <v>21082017</v>
      </c>
      <c r="D13" s="14">
        <f>IF(DIGITAÇÃO[[#This Row],[DATA INICIAL]]="","",TEXT(DIGITAÇÃO[[#This Row],[DATA INICIAL]],"00\/00\/0000")+30)</f>
        <v>42998</v>
      </c>
      <c r="E13" s="11">
        <f>IF(DIGITAÇÃO[[#This Row],[DATA FINAL]]="","",YEAR(DIGITAÇÃO[[#This Row],[DATA FINAL]]))</f>
        <v>2017</v>
      </c>
      <c r="F13" s="11" t="str">
        <f>PROPER(TEXT(DIGITAÇÃO[[#This Row],[DATA FINAL]],"mmmm"))</f>
        <v>Setembro</v>
      </c>
      <c r="G13" s="11">
        <f ca="1">IF(DIGITAÇÃO[[#This Row],[DATA DE NASC.]]="","",INT(( TODAY() - TEXT(DIGITAÇÃO[[#This Row],[DATA DE NASC.]],"00\/00\/0000")) /365.25))</f>
        <v>74</v>
      </c>
      <c r="H13" s="11">
        <f>IF(DIGITAÇÃO[[#This Row],[PROFISSIONAL]]="","",VLOOKUP(DIGITAÇÃO[[#This Row],[PROFISSIONAL]],LISTA_PROCED[],2,0))</f>
        <v>301010064</v>
      </c>
      <c r="I13" s="11">
        <f>IF(DIGITAÇÃO[[#This Row],[PROFISSIONAL]]="","", VLOOKUP(DIGITAÇÃO[[#This Row],[PROFISSIONAL]],LISTA_PROCED[],3,0))</f>
        <v>225250</v>
      </c>
    </row>
    <row r="14" spans="1:9" x14ac:dyDescent="0.35">
      <c r="A14" s="11" t="s">
        <v>3</v>
      </c>
      <c r="B14" s="13">
        <v>6061996</v>
      </c>
      <c r="C14" s="13">
        <v>21082017</v>
      </c>
      <c r="D14" s="14">
        <f>IF(DIGITAÇÃO[[#This Row],[DATA INICIAL]]="","",TEXT(DIGITAÇÃO[[#This Row],[DATA INICIAL]],"00\/00\/0000")+30)</f>
        <v>42998</v>
      </c>
      <c r="E14" s="11">
        <f>IF(DIGITAÇÃO[[#This Row],[DATA FINAL]]="","",YEAR(DIGITAÇÃO[[#This Row],[DATA FINAL]]))</f>
        <v>2017</v>
      </c>
      <c r="F14" s="11" t="str">
        <f>PROPER(TEXT(DIGITAÇÃO[[#This Row],[DATA FINAL]],"mmmm"))</f>
        <v>Setembro</v>
      </c>
      <c r="G14" s="11">
        <f ca="1">IF(DIGITAÇÃO[[#This Row],[DATA DE NASC.]]="","",INT(( TODAY() - TEXT(DIGITAÇÃO[[#This Row],[DATA DE NASC.]],"00\/00\/0000")) /365.25))</f>
        <v>25</v>
      </c>
      <c r="H14" s="11">
        <f>IF(DIGITAÇÃO[[#This Row],[PROFISSIONAL]]="","",VLOOKUP(DIGITAÇÃO[[#This Row],[PROFISSIONAL]],LISTA_PROCED[],2,0))</f>
        <v>301010030</v>
      </c>
      <c r="I14" s="11">
        <f>IF(DIGITAÇÃO[[#This Row],[PROFISSIONAL]]="","", VLOOKUP(DIGITAÇÃO[[#This Row],[PROFISSIONAL]],LISTA_PROCED[],3,0))</f>
        <v>223505</v>
      </c>
    </row>
    <row r="15" spans="1:9" x14ac:dyDescent="0.35">
      <c r="A15" s="11" t="s">
        <v>3</v>
      </c>
      <c r="B15" s="13">
        <v>15041987</v>
      </c>
      <c r="C15" s="13">
        <v>21082017</v>
      </c>
      <c r="D15" s="14">
        <f>IF(DIGITAÇÃO[[#This Row],[DATA INICIAL]]="","",TEXT(DIGITAÇÃO[[#This Row],[DATA INICIAL]],"00\/00\/0000")+30)</f>
        <v>42998</v>
      </c>
      <c r="E15" s="11">
        <f>IF(DIGITAÇÃO[[#This Row],[DATA FINAL]]="","",YEAR(DIGITAÇÃO[[#This Row],[DATA FINAL]]))</f>
        <v>2017</v>
      </c>
      <c r="F15" s="11" t="str">
        <f>PROPER(TEXT(DIGITAÇÃO[[#This Row],[DATA FINAL]],"mmmm"))</f>
        <v>Setembro</v>
      </c>
      <c r="G15" s="11">
        <f ca="1">IF(DIGITAÇÃO[[#This Row],[DATA DE NASC.]]="","",INT(( TODAY() - TEXT(DIGITAÇÃO[[#This Row],[DATA DE NASC.]],"00\/00\/0000")) /365.25))</f>
        <v>34</v>
      </c>
      <c r="H15" s="11">
        <f>IF(DIGITAÇÃO[[#This Row],[PROFISSIONAL]]="","",VLOOKUP(DIGITAÇÃO[[#This Row],[PROFISSIONAL]],LISTA_PROCED[],2,0))</f>
        <v>301010030</v>
      </c>
      <c r="I15" s="11">
        <f>IF(DIGITAÇÃO[[#This Row],[PROFISSIONAL]]="","", VLOOKUP(DIGITAÇÃO[[#This Row],[PROFISSIONAL]],LISTA_PROCED[],3,0))</f>
        <v>223505</v>
      </c>
    </row>
    <row r="16" spans="1:9" x14ac:dyDescent="0.35">
      <c r="A16" s="11" t="s">
        <v>3</v>
      </c>
      <c r="B16" s="13">
        <v>23041955</v>
      </c>
      <c r="C16" s="13">
        <v>21082017</v>
      </c>
      <c r="D16" s="14">
        <f>IF(DIGITAÇÃO[[#This Row],[DATA INICIAL]]="","",TEXT(DIGITAÇÃO[[#This Row],[DATA INICIAL]],"00\/00\/0000")+30)</f>
        <v>42998</v>
      </c>
      <c r="E16" s="11">
        <f>IF(DIGITAÇÃO[[#This Row],[DATA FINAL]]="","",YEAR(DIGITAÇÃO[[#This Row],[DATA FINAL]]))</f>
        <v>2017</v>
      </c>
      <c r="F16" s="11" t="str">
        <f>PROPER(TEXT(DIGITAÇÃO[[#This Row],[DATA FINAL]],"mmmm"))</f>
        <v>Setembro</v>
      </c>
      <c r="G16" s="11">
        <f ca="1">IF(DIGITAÇÃO[[#This Row],[DATA DE NASC.]]="","",INT(( TODAY() - TEXT(DIGITAÇÃO[[#This Row],[DATA DE NASC.]],"00\/00\/0000")) /365.25))</f>
        <v>66</v>
      </c>
      <c r="H16" s="11">
        <f>IF(DIGITAÇÃO[[#This Row],[PROFISSIONAL]]="","",VLOOKUP(DIGITAÇÃO[[#This Row],[PROFISSIONAL]],LISTA_PROCED[],2,0))</f>
        <v>301010030</v>
      </c>
      <c r="I16" s="11">
        <f>IF(DIGITAÇÃO[[#This Row],[PROFISSIONAL]]="","", VLOOKUP(DIGITAÇÃO[[#This Row],[PROFISSIONAL]],LISTA_PROCED[],3,0))</f>
        <v>223505</v>
      </c>
    </row>
    <row r="19" spans="2:2" x14ac:dyDescent="0.35">
      <c r="B19" s="15"/>
    </row>
  </sheetData>
  <dataValidations count="1">
    <dataValidation type="list" allowBlank="1" showInputMessage="1" showErrorMessage="1" sqref="A6:A16" xr:uid="{AAF515D0-F8AB-4D8C-8333-1B52FC1ECEA1}">
      <formula1>PROFISSIONAL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Listas">
    <tabColor theme="4" tint="-0.499984740745262"/>
  </sheetPr>
  <dimension ref="A1:D25"/>
  <sheetViews>
    <sheetView showGridLines="0" workbookViewId="0">
      <selection activeCell="B3" sqref="B3"/>
    </sheetView>
  </sheetViews>
  <sheetFormatPr defaultColWidth="9.1796875" defaultRowHeight="14.5" x14ac:dyDescent="0.35"/>
  <cols>
    <col min="1" max="1" width="43.26953125" style="1" bestFit="1" customWidth="1"/>
    <col min="2" max="2" width="16.81640625" style="1" bestFit="1" customWidth="1"/>
    <col min="3" max="3" width="32.81640625" style="1" bestFit="1" customWidth="1"/>
    <col min="4" max="4" width="29" style="1" bestFit="1" customWidth="1"/>
    <col min="5" max="5" width="24.453125" style="1" bestFit="1" customWidth="1"/>
    <col min="6" max="16384" width="9.1796875" style="1"/>
  </cols>
  <sheetData>
    <row r="1" spans="1:4" x14ac:dyDescent="0.35">
      <c r="A1" s="4" t="s">
        <v>24</v>
      </c>
      <c r="B1" s="2" t="s">
        <v>0</v>
      </c>
      <c r="C1" s="2" t="s">
        <v>1</v>
      </c>
      <c r="D1" s="2" t="s">
        <v>23</v>
      </c>
    </row>
    <row r="2" spans="1:4" x14ac:dyDescent="0.35">
      <c r="A2" s="3" t="s">
        <v>19</v>
      </c>
      <c r="B2" s="5">
        <v>301010064</v>
      </c>
      <c r="C2" s="1">
        <v>225125</v>
      </c>
      <c r="D2" s="1">
        <f>COUNTIF(DIGITAÇÃO[PROFISSIONAL],LISTA_PROCED[[#This Row],[PROFISSIONAL]])</f>
        <v>4</v>
      </c>
    </row>
    <row r="3" spans="1:4" x14ac:dyDescent="0.35">
      <c r="A3" s="3" t="s">
        <v>3</v>
      </c>
      <c r="B3" s="5">
        <v>301010030</v>
      </c>
      <c r="C3" s="1">
        <v>223505</v>
      </c>
      <c r="D3" s="1">
        <f>COUNTIF(DIGITAÇÃO[PROFISSIONAL],LISTA_PROCED[[#This Row],[PROFISSIONAL]])</f>
        <v>3</v>
      </c>
    </row>
    <row r="4" spans="1:4" x14ac:dyDescent="0.35">
      <c r="A4" s="3" t="s">
        <v>4</v>
      </c>
      <c r="B4" s="5">
        <v>301010030</v>
      </c>
      <c r="C4" s="1">
        <v>223565</v>
      </c>
      <c r="D4" s="1">
        <f>COUNTIF(DIGITAÇÃO[PROFISSIONAL],LISTA_PROCED[[#This Row],[PROFISSIONAL]])</f>
        <v>0</v>
      </c>
    </row>
    <row r="5" spans="1:4" x14ac:dyDescent="0.35">
      <c r="A5" s="3" t="s">
        <v>12</v>
      </c>
      <c r="B5" s="5">
        <v>301010048</v>
      </c>
      <c r="C5" s="1">
        <v>223810</v>
      </c>
      <c r="D5" s="1">
        <f>COUNTIF(DIGITAÇÃO[PROFISSIONAL],LISTA_PROCED[[#This Row],[PROFISSIONAL]])</f>
        <v>0</v>
      </c>
    </row>
    <row r="6" spans="1:4" x14ac:dyDescent="0.35">
      <c r="A6" s="3" t="s">
        <v>16</v>
      </c>
      <c r="B6" s="5">
        <v>301010064</v>
      </c>
      <c r="C6" s="1">
        <v>225250</v>
      </c>
      <c r="D6" s="1">
        <f>COUNTIF(DIGITAÇÃO[PROFISSIONAL],LISTA_PROCED[[#This Row],[PROFISSIONAL]])</f>
        <v>4</v>
      </c>
    </row>
    <row r="7" spans="1:4" x14ac:dyDescent="0.35">
      <c r="A7" s="3" t="s">
        <v>28</v>
      </c>
      <c r="B7" s="5">
        <v>301010064</v>
      </c>
      <c r="C7" s="1">
        <v>225142</v>
      </c>
      <c r="D7" s="1">
        <f>COUNTIF(DIGITAÇÃO[PROFISSIONAL],LISTA_PROCED[[#This Row],[PROFISSIONAL]])</f>
        <v>0</v>
      </c>
    </row>
    <row r="8" spans="1:4" x14ac:dyDescent="0.35">
      <c r="A8" s="3" t="s">
        <v>29</v>
      </c>
      <c r="B8" s="5">
        <v>301010110</v>
      </c>
      <c r="C8" s="1">
        <v>225142</v>
      </c>
      <c r="D8" s="1">
        <f>COUNTIF(DIGITAÇÃO[PROFISSIONAL],LISTA_PROCED[[#This Row],[PROFISSIONAL]])</f>
        <v>0</v>
      </c>
    </row>
    <row r="9" spans="1:4" x14ac:dyDescent="0.35">
      <c r="A9" s="3" t="s">
        <v>30</v>
      </c>
      <c r="B9" s="5">
        <v>301010080</v>
      </c>
      <c r="C9" s="1">
        <v>225142</v>
      </c>
      <c r="D9" s="1">
        <f>COUNTIF(DIGITAÇÃO[PROFISSIONAL],LISTA_PROCED[[#This Row],[PROFISSIONAL]])</f>
        <v>0</v>
      </c>
    </row>
    <row r="10" spans="1:4" x14ac:dyDescent="0.35">
      <c r="A10" s="3" t="s">
        <v>31</v>
      </c>
      <c r="B10" s="5">
        <v>301010129</v>
      </c>
      <c r="C10" s="1">
        <v>225142</v>
      </c>
      <c r="D10" s="1">
        <f>COUNTIF(DIGITAÇÃO[PROFISSIONAL],LISTA_PROCED[[#This Row],[PROFISSIONAL]])</f>
        <v>0</v>
      </c>
    </row>
    <row r="11" spans="1:4" x14ac:dyDescent="0.35">
      <c r="A11" s="3" t="s">
        <v>21</v>
      </c>
      <c r="B11" s="5">
        <v>301010072</v>
      </c>
      <c r="C11" s="1">
        <v>225112</v>
      </c>
      <c r="D11" s="1">
        <f>COUNTIF(DIGITAÇÃO[PROFISSIONAL],LISTA_PROCED[[#This Row],[PROFISSIONAL]])</f>
        <v>0</v>
      </c>
    </row>
    <row r="12" spans="1:4" x14ac:dyDescent="0.35">
      <c r="A12" s="3" t="s">
        <v>20</v>
      </c>
      <c r="B12" s="5">
        <v>301010030</v>
      </c>
      <c r="C12" s="1">
        <v>223710</v>
      </c>
      <c r="D12" s="1">
        <f>COUNTIF(DIGITAÇÃO[PROFISSIONAL],LISTA_PROCED[[#This Row],[PROFISSIONAL]])</f>
        <v>0</v>
      </c>
    </row>
    <row r="13" spans="1:4" x14ac:dyDescent="0.35">
      <c r="A13" s="3" t="s">
        <v>22</v>
      </c>
      <c r="B13" s="5">
        <v>301020500</v>
      </c>
      <c r="C13" s="1">
        <v>223208</v>
      </c>
      <c r="D13" s="1">
        <f>COUNTIF(DIGITAÇÃO[PROFISSIONAL],LISTA_PROCED[[#This Row],[PROFISSIONAL]])</f>
        <v>0</v>
      </c>
    </row>
    <row r="14" spans="1:4" x14ac:dyDescent="0.35">
      <c r="A14" s="3" t="s">
        <v>14</v>
      </c>
      <c r="B14" s="5">
        <v>301010064</v>
      </c>
      <c r="C14" s="1">
        <v>225124</v>
      </c>
      <c r="D14" s="1">
        <f>COUNTIF(DIGITAÇÃO[PROFISSIONAL],LISTA_PROCED[[#This Row],[PROFISSIONAL]])</f>
        <v>0</v>
      </c>
    </row>
    <row r="15" spans="1:4" x14ac:dyDescent="0.35">
      <c r="A15" s="3" t="s">
        <v>18</v>
      </c>
      <c r="B15" s="5">
        <v>301010110</v>
      </c>
      <c r="C15" s="1">
        <v>225250</v>
      </c>
      <c r="D15" s="1">
        <f>COUNTIF(DIGITAÇÃO[PROFISSIONAL],LISTA_PROCED[[#This Row],[PROFISSIONAL]])</f>
        <v>0</v>
      </c>
    </row>
    <row r="16" spans="1:4" x14ac:dyDescent="0.35">
      <c r="A16" s="3" t="s">
        <v>5</v>
      </c>
      <c r="B16" s="5">
        <v>301010110</v>
      </c>
      <c r="C16" s="1">
        <v>223505</v>
      </c>
      <c r="D16" s="1">
        <f>COUNTIF(DIGITAÇÃO[PROFISSIONAL],LISTA_PROCED[[#This Row],[PROFISSIONAL]])</f>
        <v>0</v>
      </c>
    </row>
    <row r="17" spans="1:4" x14ac:dyDescent="0.35">
      <c r="A17" s="3" t="s">
        <v>6</v>
      </c>
      <c r="B17" s="5">
        <v>301010110</v>
      </c>
      <c r="C17" s="1">
        <v>223565</v>
      </c>
      <c r="D17" s="1">
        <f>COUNTIF(DIGITAÇÃO[PROFISSIONAL],LISTA_PROCED[[#This Row],[PROFISSIONAL]])</f>
        <v>0</v>
      </c>
    </row>
    <row r="18" spans="1:4" x14ac:dyDescent="0.35">
      <c r="A18" s="3" t="s">
        <v>13</v>
      </c>
      <c r="B18" s="5">
        <v>301010048</v>
      </c>
      <c r="C18" s="1">
        <v>251510</v>
      </c>
      <c r="D18" s="1">
        <f>COUNTIF(DIGITAÇÃO[PROFISSIONAL],LISTA_PROCED[[#This Row],[PROFISSIONAL]])</f>
        <v>0</v>
      </c>
    </row>
    <row r="19" spans="1:4" x14ac:dyDescent="0.35">
      <c r="A19" s="3" t="s">
        <v>11</v>
      </c>
      <c r="B19" s="5">
        <v>301010072</v>
      </c>
      <c r="C19" s="1">
        <v>225133</v>
      </c>
      <c r="D19" s="1">
        <f>COUNTIF(DIGITAÇÃO[PROFISSIONAL],LISTA_PROCED[[#This Row],[PROFISSIONAL]])</f>
        <v>0</v>
      </c>
    </row>
    <row r="20" spans="1:4" x14ac:dyDescent="0.35">
      <c r="A20" s="3" t="s">
        <v>9</v>
      </c>
      <c r="B20" s="5">
        <v>301010080</v>
      </c>
      <c r="C20" s="1">
        <v>223505</v>
      </c>
      <c r="D20" s="1">
        <f>COUNTIF(DIGITAÇÃO[PROFISSIONAL],LISTA_PROCED[[#This Row],[PROFISSIONAL]])</f>
        <v>0</v>
      </c>
    </row>
    <row r="21" spans="1:4" x14ac:dyDescent="0.35">
      <c r="A21" s="3" t="s">
        <v>10</v>
      </c>
      <c r="B21" s="5">
        <v>301010080</v>
      </c>
      <c r="C21" s="1">
        <v>223565</v>
      </c>
      <c r="D21" s="1">
        <f>COUNTIF(DIGITAÇÃO[PROFISSIONAL],LISTA_PROCED[[#This Row],[PROFISSIONAL]])</f>
        <v>0</v>
      </c>
    </row>
    <row r="22" spans="1:4" x14ac:dyDescent="0.35">
      <c r="A22" s="3" t="s">
        <v>15</v>
      </c>
      <c r="B22" s="5">
        <v>301010080</v>
      </c>
      <c r="C22" s="1">
        <v>225124</v>
      </c>
      <c r="D22" s="1">
        <f>COUNTIF(DIGITAÇÃO[PROFISSIONAL],LISTA_PROCED[[#This Row],[PROFISSIONAL]])</f>
        <v>0</v>
      </c>
    </row>
    <row r="23" spans="1:4" x14ac:dyDescent="0.35">
      <c r="A23" s="3" t="s">
        <v>7</v>
      </c>
      <c r="B23" s="5">
        <v>301010129</v>
      </c>
      <c r="C23" s="1">
        <v>223505</v>
      </c>
      <c r="D23" s="1">
        <f>COUNTIF(DIGITAÇÃO[PROFISSIONAL],LISTA_PROCED[[#This Row],[PROFISSIONAL]])</f>
        <v>0</v>
      </c>
    </row>
    <row r="24" spans="1:4" x14ac:dyDescent="0.35">
      <c r="A24" s="3" t="s">
        <v>8</v>
      </c>
      <c r="B24" s="5">
        <v>301010129</v>
      </c>
      <c r="C24" s="1">
        <v>223565</v>
      </c>
      <c r="D24" s="1">
        <f>COUNTIF(DIGITAÇÃO[PROFISSIONAL],LISTA_PROCED[[#This Row],[PROFISSIONAL]])</f>
        <v>0</v>
      </c>
    </row>
    <row r="25" spans="1:4" x14ac:dyDescent="0.35">
      <c r="A25" s="3" t="s">
        <v>17</v>
      </c>
      <c r="B25" s="5">
        <v>301010129</v>
      </c>
      <c r="C25" s="1">
        <v>225250</v>
      </c>
      <c r="D25" s="1">
        <f>COUNTIF(DIGITAÇÃO[PROFISSIONAL],LISTA_PROCED[[#This Row],[PROFISSIONAL]])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RELATÓRIO</vt:lpstr>
      <vt:lpstr>Apoio</vt:lpstr>
      <vt:lpstr>DIGITAÇÃO</vt:lpstr>
      <vt:lpstr>LISTA_PROCED</vt:lpstr>
      <vt:lpstr>PROFISSIONAL</vt:lpstr>
      <vt:lpstr>TIPO_CONSULTA</vt:lpstr>
      <vt:lpstr>RELATÓRIO!Titulos_de_impressao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Ivanildo Barauna</cp:lastModifiedBy>
  <cp:lastPrinted>2017-09-20T00:44:20Z</cp:lastPrinted>
  <dcterms:created xsi:type="dcterms:W3CDTF">2016-11-20T21:24:54Z</dcterms:created>
  <dcterms:modified xsi:type="dcterms:W3CDTF">2021-09-23T01:59:21Z</dcterms:modified>
</cp:coreProperties>
</file>