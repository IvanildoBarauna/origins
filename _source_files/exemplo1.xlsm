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625" codeName="{EAAD5824-E589-9196-6FC8-2F1B51211585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D:\Junior &amp; Cris\Documents\1 ARQUIVOS DO EXCEL\GURU DO EXCEL\Fórum Files\"/>
    </mc:Choice>
  </mc:AlternateContent>
  <bookViews>
    <workbookView xWindow="0" yWindow="0" windowWidth="20490" windowHeight="7035" activeTab="1" xr2:uid="{00000000-000D-0000-FFFF-FFFF00000000}"/>
  </bookViews>
  <sheets>
    <sheet name="Notas" sheetId="1" r:id="rId1"/>
    <sheet name="Dados" sheetId="2" r:id="rId2"/>
    <sheet name="Folha3" sheetId="3" r:id="rId3"/>
  </sheets>
  <functionGroups builtInGroupCount="19"/>
  <calcPr calcId="171027"/>
  <pivotCaches>
    <pivotCache cacheId="0" r:id="rId4"/>
  </pivotCaches>
</workbook>
</file>

<file path=xl/calcChain.xml><?xml version="1.0" encoding="utf-8"?>
<calcChain xmlns="http://schemas.openxmlformats.org/spreadsheetml/2006/main">
  <c r="C5" i="2" l="1"/>
  <c r="C6" i="2"/>
  <c r="C7" i="2"/>
  <c r="C8" i="2"/>
  <c r="C9" i="2"/>
  <c r="C10" i="2"/>
  <c r="C4" i="2"/>
  <c r="H3" i="2" a="1"/>
  <c r="H3" i="2" l="1"/>
</calcChain>
</file>

<file path=xl/sharedStrings.xml><?xml version="1.0" encoding="utf-8"?>
<sst xmlns="http://schemas.openxmlformats.org/spreadsheetml/2006/main" count="39" uniqueCount="22">
  <si>
    <t>Nome</t>
  </si>
  <si>
    <t>Ana</t>
  </si>
  <si>
    <t>Notas</t>
  </si>
  <si>
    <t>Data</t>
  </si>
  <si>
    <t xml:space="preserve">Rui </t>
  </si>
  <si>
    <t>José</t>
  </si>
  <si>
    <t>Atingiu os objetivos</t>
  </si>
  <si>
    <t>Deslocou-se ao Norte para apresentação do produto</t>
  </si>
  <si>
    <t>Aprovou a apresentação X</t>
  </si>
  <si>
    <t>Não consultou os registos.</t>
  </si>
  <si>
    <t>Não entregou o relatório X.</t>
  </si>
  <si>
    <t>Não cumpriu os objetivos minimos em relação ao produto y.</t>
  </si>
  <si>
    <t>Mês</t>
  </si>
  <si>
    <t>janeiro</t>
  </si>
  <si>
    <t>fevereiro</t>
  </si>
  <si>
    <t>Total Geral</t>
  </si>
  <si>
    <t>janeiro Total</t>
  </si>
  <si>
    <t>fevereiro Total</t>
  </si>
  <si>
    <t>Contagem de Nome</t>
  </si>
  <si>
    <t>Total</t>
  </si>
  <si>
    <t>=unirtexto("; ";VERDADEIRO;REPT(C11:C15;B11:B15=D11))</t>
  </si>
  <si>
    <t>Obs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</si>
</sst>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7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NumberFormat="1"/>
    <xf numFmtId="0" fontId="1" fillId="2" borderId="1" xfId="0" applyFont="1" applyFill="1" applyBorder="1"/>
    <xf numFmtId="0" fontId="0" fillId="0" borderId="0" xfId="0" quotePrefix="1"/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2">
    <dxf>
      <numFmt numFmtId="19" formatCode="dd/mm/yyyy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elipe Matsudo Garcia" refreshedDate="42773.349280671297" createdVersion="5" refreshedVersion="5" minRefreshableVersion="3" recordCount="7" xr:uid="{00000000-000A-0000-FFFF-FFFF00000000}">
  <cacheSource type="worksheet">
    <worksheetSource name="tbdados"/>
  </cacheSource>
  <cacheFields count="4">
    <cacheField name="Nome" numFmtId="0">
      <sharedItems count="4">
        <s v="Ana"/>
        <s v="Ana "/>
        <s v="Rui "/>
        <s v="José"/>
      </sharedItems>
    </cacheField>
    <cacheField name="Data" numFmtId="14">
      <sharedItems containsSemiMixedTypes="0" containsNonDate="0" containsDate="1" containsString="0" minDate="2017-01-01T00:00:00" maxDate="2017-02-09T00:00:00"/>
    </cacheField>
    <cacheField name="Mês" numFmtId="14">
      <sharedItems count="2">
        <s v="janeiro"/>
        <s v="fevereiro"/>
      </sharedItems>
    </cacheField>
    <cacheField name="Notas" numFmtId="0">
      <sharedItems count="6">
        <s v="Não entregou o relatório X."/>
        <s v="Não consultou os registos."/>
        <s v="Aprovou a apresentação X"/>
        <s v="Deslocou-se ao Norte para apresentação do produto"/>
        <s v="Atingiu os objetivos"/>
        <s v="Não cumpriu os objetivos minimos em relação ao produto y.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">
  <r>
    <x v="0"/>
    <d v="2017-01-01T00:00:00"/>
    <x v="0"/>
    <x v="0"/>
  </r>
  <r>
    <x v="1"/>
    <d v="2017-01-03T00:00:00"/>
    <x v="0"/>
    <x v="1"/>
  </r>
  <r>
    <x v="2"/>
    <d v="2017-01-02T00:00:00"/>
    <x v="0"/>
    <x v="2"/>
  </r>
  <r>
    <x v="2"/>
    <d v="2017-01-06T00:00:00"/>
    <x v="0"/>
    <x v="3"/>
  </r>
  <r>
    <x v="3"/>
    <d v="2017-01-03T00:00:00"/>
    <x v="0"/>
    <x v="4"/>
  </r>
  <r>
    <x v="0"/>
    <d v="2017-02-02T00:00:00"/>
    <x v="1"/>
    <x v="0"/>
  </r>
  <r>
    <x v="0"/>
    <d v="2017-02-08T00:00:00"/>
    <x v="1"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Tabela dinâmica1" cacheId="0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compact="0" compactData="0" gridDropZones="1" multipleFieldFilters="0">
  <location ref="A3:C10" firstHeaderRow="2" firstDataRow="2" firstDataCol="2" rowPageCount="1" colPageCount="1"/>
  <pivotFields count="4">
    <pivotField axis="axisPage" dataField="1" compact="0" outline="0" showAll="0">
      <items count="5">
        <item x="0"/>
        <item x="1"/>
        <item x="3"/>
        <item x="2"/>
        <item t="default"/>
      </items>
    </pivotField>
    <pivotField compact="0" numFmtId="14" outline="0" showAll="0"/>
    <pivotField axis="axisRow" compact="0" outline="0" showAll="0">
      <items count="3">
        <item x="0"/>
        <item x="1"/>
        <item t="default"/>
      </items>
    </pivotField>
    <pivotField axis="axisRow" compact="0" outline="0" showAll="0">
      <items count="7">
        <item x="2"/>
        <item x="4"/>
        <item x="3"/>
        <item x="1"/>
        <item x="5"/>
        <item x="0"/>
        <item t="default"/>
      </items>
    </pivotField>
  </pivotFields>
  <rowFields count="2">
    <field x="2"/>
    <field x="3"/>
  </rowFields>
  <rowItems count="6">
    <i>
      <x/>
      <x v="5"/>
    </i>
    <i t="default">
      <x/>
    </i>
    <i>
      <x v="1"/>
      <x v="4"/>
    </i>
    <i r="1">
      <x v="5"/>
    </i>
    <i t="default">
      <x v="1"/>
    </i>
    <i t="grand">
      <x/>
    </i>
  </rowItems>
  <colItems count="1">
    <i/>
  </colItems>
  <pageFields count="1">
    <pageField fld="0" item="0" hier="-1"/>
  </pageFields>
  <dataFields count="1">
    <dataField name="Contagem de Nome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dados" displayName="Tbdados" ref="A3:D10" totalsRowShown="0">
  <autoFilter ref="A3:D10" xr:uid="{00000000-0009-0000-0100-000001000000}"/>
  <tableColumns count="4">
    <tableColumn id="1" xr3:uid="{00000000-0010-0000-0000-000001000000}" name="Nome"/>
    <tableColumn id="2" xr3:uid="{00000000-0010-0000-0000-000002000000}" name="Data" dataDxfId="1"/>
    <tableColumn id="3" xr3:uid="{00000000-0010-0000-0000-000003000000}" name="Mês" dataDxfId="0">
      <calculatedColumnFormula>TEXT(B4,"MMMM")</calculatedColumnFormula>
    </tableColumn>
    <tableColumn id="4" xr3:uid="{00000000-0010-0000-0000-000004000000}" name="Nota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C10"/>
  <sheetViews>
    <sheetView workbookViewId="0">
      <selection activeCell="A5" sqref="A5"/>
    </sheetView>
  </sheetViews>
  <sheetFormatPr defaultRowHeight="15" x14ac:dyDescent="0.25"/>
  <cols>
    <col min="1" max="1" width="18.85546875" bestFit="1" customWidth="1"/>
    <col min="2" max="2" width="55.42578125" customWidth="1"/>
    <col min="3" max="3" width="5.42578125" customWidth="1"/>
  </cols>
  <sheetData>
    <row r="1" spans="1:3" x14ac:dyDescent="0.25">
      <c r="A1" s="2" t="s">
        <v>0</v>
      </c>
      <c r="B1" t="s">
        <v>1</v>
      </c>
    </row>
    <row r="3" spans="1:3" x14ac:dyDescent="0.25">
      <c r="A3" s="2" t="s">
        <v>18</v>
      </c>
    </row>
    <row r="4" spans="1:3" x14ac:dyDescent="0.25">
      <c r="A4" s="2" t="s">
        <v>12</v>
      </c>
      <c r="B4" s="2" t="s">
        <v>2</v>
      </c>
      <c r="C4" t="s">
        <v>19</v>
      </c>
    </row>
    <row r="5" spans="1:3" x14ac:dyDescent="0.25">
      <c r="A5" t="s">
        <v>13</v>
      </c>
      <c r="B5" t="s">
        <v>10</v>
      </c>
      <c r="C5" s="3">
        <v>1</v>
      </c>
    </row>
    <row r="6" spans="1:3" x14ac:dyDescent="0.25">
      <c r="A6" t="s">
        <v>16</v>
      </c>
      <c r="C6" s="3">
        <v>1</v>
      </c>
    </row>
    <row r="7" spans="1:3" x14ac:dyDescent="0.25">
      <c r="A7" t="s">
        <v>14</v>
      </c>
      <c r="B7" t="s">
        <v>11</v>
      </c>
      <c r="C7" s="3">
        <v>1</v>
      </c>
    </row>
    <row r="8" spans="1:3" x14ac:dyDescent="0.25">
      <c r="B8" t="s">
        <v>10</v>
      </c>
      <c r="C8" s="3">
        <v>1</v>
      </c>
    </row>
    <row r="9" spans="1:3" x14ac:dyDescent="0.25">
      <c r="A9" t="s">
        <v>17</v>
      </c>
      <c r="C9" s="3">
        <v>2</v>
      </c>
    </row>
    <row r="10" spans="1:3" x14ac:dyDescent="0.25">
      <c r="A10" t="s">
        <v>15</v>
      </c>
      <c r="C10" s="3">
        <v>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2:N18"/>
  <sheetViews>
    <sheetView tabSelected="1" topLeftCell="D1" workbookViewId="0">
      <selection activeCell="H17" sqref="H17"/>
    </sheetView>
  </sheetViews>
  <sheetFormatPr defaultRowHeight="15" x14ac:dyDescent="0.25"/>
  <cols>
    <col min="2" max="2" width="10.42578125" bestFit="1" customWidth="1"/>
    <col min="3" max="3" width="10.42578125" customWidth="1"/>
    <col min="4" max="4" width="55.42578125" bestFit="1" customWidth="1"/>
    <col min="6" max="6" width="6.42578125" bestFit="1" customWidth="1"/>
    <col min="8" max="8" width="107.140625" bestFit="1" customWidth="1"/>
  </cols>
  <sheetData>
    <row r="2" spans="1:14" x14ac:dyDescent="0.25">
      <c r="F2" s="4" t="s">
        <v>0</v>
      </c>
      <c r="G2" s="6" t="s">
        <v>1</v>
      </c>
      <c r="H2" s="4" t="s">
        <v>21</v>
      </c>
      <c r="N2" t="s">
        <v>1</v>
      </c>
    </row>
    <row r="3" spans="1:14" x14ac:dyDescent="0.25">
      <c r="A3" t="s">
        <v>0</v>
      </c>
      <c r="B3" t="s">
        <v>3</v>
      </c>
      <c r="C3" t="s">
        <v>12</v>
      </c>
      <c r="D3" t="s">
        <v>2</v>
      </c>
      <c r="H3" t="str">
        <f t="array" ref="H3">unirtexto("; ",TRUE,REPT(Tbdados[Notas],Tbdados[Nome]=$G$2))</f>
        <v>Não entregou o relatório X.; Não consultou os registos.; Não entregou o relatório X.; Não cumpriu os objetivos minimos em relação ao produto y.</v>
      </c>
      <c r="N3" t="s">
        <v>4</v>
      </c>
    </row>
    <row r="4" spans="1:14" x14ac:dyDescent="0.25">
      <c r="A4" t="s">
        <v>1</v>
      </c>
      <c r="B4" s="1">
        <v>42736</v>
      </c>
      <c r="C4" s="1" t="str">
        <f>TEXT(B4,"MMMM")</f>
        <v>janeiro</v>
      </c>
      <c r="D4" t="s">
        <v>10</v>
      </c>
      <c r="N4" t="s">
        <v>5</v>
      </c>
    </row>
    <row r="5" spans="1:14" x14ac:dyDescent="0.25">
      <c r="A5" t="s">
        <v>1</v>
      </c>
      <c r="B5" s="1">
        <v>42738</v>
      </c>
      <c r="C5" s="1" t="str">
        <f t="shared" ref="C5:C10" si="0">TEXT(B5,"MMMM")</f>
        <v>janeiro</v>
      </c>
      <c r="D5" t="s">
        <v>9</v>
      </c>
    </row>
    <row r="6" spans="1:14" x14ac:dyDescent="0.25">
      <c r="A6" t="s">
        <v>4</v>
      </c>
      <c r="B6" s="1">
        <v>42737</v>
      </c>
      <c r="C6" s="1" t="str">
        <f t="shared" si="0"/>
        <v>janeiro</v>
      </c>
      <c r="D6" t="s">
        <v>8</v>
      </c>
    </row>
    <row r="7" spans="1:14" x14ac:dyDescent="0.25">
      <c r="A7" t="s">
        <v>4</v>
      </c>
      <c r="B7" s="1">
        <v>42741</v>
      </c>
      <c r="C7" s="1" t="str">
        <f t="shared" si="0"/>
        <v>janeiro</v>
      </c>
      <c r="D7" t="s">
        <v>7</v>
      </c>
    </row>
    <row r="8" spans="1:14" x14ac:dyDescent="0.25">
      <c r="A8" t="s">
        <v>5</v>
      </c>
      <c r="B8" s="1">
        <v>42738</v>
      </c>
      <c r="C8" s="1" t="str">
        <f t="shared" si="0"/>
        <v>janeiro</v>
      </c>
      <c r="D8" t="s">
        <v>6</v>
      </c>
    </row>
    <row r="9" spans="1:14" x14ac:dyDescent="0.25">
      <c r="A9" t="s">
        <v>1</v>
      </c>
      <c r="B9" s="1">
        <v>42768</v>
      </c>
      <c r="C9" s="1" t="str">
        <f t="shared" si="0"/>
        <v>fevereiro</v>
      </c>
      <c r="D9" t="s">
        <v>10</v>
      </c>
    </row>
    <row r="10" spans="1:14" x14ac:dyDescent="0.25">
      <c r="A10" t="s">
        <v>1</v>
      </c>
      <c r="B10" s="1">
        <v>42774</v>
      </c>
      <c r="C10" s="1" t="str">
        <f t="shared" si="0"/>
        <v>fevereiro</v>
      </c>
      <c r="D10" t="s">
        <v>11</v>
      </c>
    </row>
    <row r="11" spans="1:14" x14ac:dyDescent="0.25">
      <c r="C11" s="1"/>
    </row>
    <row r="12" spans="1:14" x14ac:dyDescent="0.25">
      <c r="C12" s="1"/>
    </row>
    <row r="13" spans="1:14" x14ac:dyDescent="0.25">
      <c r="C13" s="1"/>
      <c r="D13" s="5" t="s">
        <v>20</v>
      </c>
    </row>
    <row r="14" spans="1:14" x14ac:dyDescent="0.25">
      <c r="C14" s="1"/>
    </row>
    <row r="15" spans="1:14" x14ac:dyDescent="0.25">
      <c r="C15" s="1"/>
    </row>
    <row r="16" spans="1:14" x14ac:dyDescent="0.25">
      <c r="C16" s="1"/>
    </row>
    <row r="17" spans="3:3" x14ac:dyDescent="0.25">
      <c r="C17" s="1"/>
    </row>
    <row r="18" spans="3:3" x14ac:dyDescent="0.25">
      <c r="C18" s="1"/>
    </row>
  </sheetData>
  <dataValidations count="1">
    <dataValidation type="list" allowBlank="1" showInputMessage="1" showErrorMessage="1" sqref="G2" xr:uid="{00000000-0002-0000-0100-000000000000}">
      <formula1>$N$2:$N$4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Notas</vt:lpstr>
      <vt:lpstr>Dados</vt:lpstr>
      <vt:lpstr>Folha3</vt:lpstr>
    </vt:vector>
  </TitlesOfParts>
  <Company>CPC-BEJA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secretaria</dc:creator>
  <cp:lastModifiedBy>Ivanildo Junior</cp:lastModifiedBy>
  <dcterms:created xsi:type="dcterms:W3CDTF">2017-02-07T10:04:26Z</dcterms:created>
  <dcterms:modified xsi:type="dcterms:W3CDTF">2017-12-11T00:24:32Z</dcterms:modified>
</cp:coreProperties>
</file>